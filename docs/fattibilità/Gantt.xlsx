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comi\Desktop\docs\fattibilità\"/>
    </mc:Choice>
  </mc:AlternateContent>
  <xr:revisionPtr revIDLastSave="0" documentId="8_{89C96C8C-C184-4C0E-9D3D-4A87B788322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ProjectSchedule" sheetId="11" r:id="rId1"/>
  </sheets>
  <definedNames>
    <definedName name="_xlnm.Print_Area" localSheetId="0">ProjectSchedule!$1:$41</definedName>
    <definedName name="task_end" localSheetId="0">ProjectSchedule!$G1</definedName>
    <definedName name="task_progress" localSheetId="0">ProjectSchedule!$E1</definedName>
    <definedName name="task_start" localSheetId="0">ProjectSchedule!$F1</definedName>
    <definedName name="_xlnm.Print_Titles" localSheetId="0">ProjectSchedule!$4:$6</definedName>
    <definedName name="today" localSheetId="0">ProjectSchedule!$F$3</definedName>
    <definedName name="valuevx">42.314159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0" i="11" l="1"/>
  <c r="F2" i="11"/>
  <c r="F3" i="11"/>
  <c r="I41" i="11" l="1"/>
  <c r="I40" i="11"/>
  <c r="I39" i="11"/>
  <c r="I38" i="11"/>
  <c r="I37" i="11"/>
  <c r="I36" i="11"/>
  <c r="I35" i="11"/>
  <c r="I34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9" i="11"/>
  <c r="I8" i="11"/>
  <c r="I7" i="11"/>
  <c r="J5" i="11" l="1"/>
  <c r="J6" i="11" l="1"/>
  <c r="K5" i="11" l="1"/>
  <c r="L5" i="11" s="1"/>
  <c r="M5" i="11" s="1"/>
  <c r="N5" i="11" s="1"/>
  <c r="O5" i="11" s="1"/>
  <c r="P5" i="11" s="1"/>
  <c r="Q5" i="11" s="1"/>
  <c r="J4" i="11"/>
  <c r="Q4" i="11" l="1"/>
  <c r="R5" i="11"/>
  <c r="S5" i="11" s="1"/>
  <c r="T5" i="11" s="1"/>
  <c r="U5" i="11" s="1"/>
  <c r="V5" i="11" s="1"/>
  <c r="W5" i="11" s="1"/>
  <c r="X5" i="11" s="1"/>
  <c r="K6" i="11"/>
  <c r="X4" i="11" l="1"/>
  <c r="Y5" i="11"/>
  <c r="Z5" i="11" s="1"/>
  <c r="AA5" i="11" s="1"/>
  <c r="AB5" i="11" s="1"/>
  <c r="AC5" i="11" s="1"/>
  <c r="AD5" i="11" s="1"/>
  <c r="AE5" i="11" s="1"/>
  <c r="L6" i="11"/>
  <c r="AF5" i="11" l="1"/>
  <c r="AG5" i="11" s="1"/>
  <c r="AH5" i="11" s="1"/>
  <c r="AI5" i="11" s="1"/>
  <c r="AJ5" i="11" s="1"/>
  <c r="AK5" i="11" s="1"/>
  <c r="AE4" i="11"/>
  <c r="M6" i="11"/>
  <c r="AL5" i="11" l="1"/>
  <c r="AM5" i="11" s="1"/>
  <c r="AN5" i="11" s="1"/>
  <c r="AO5" i="11" s="1"/>
  <c r="AP5" i="11" s="1"/>
  <c r="AQ5" i="11" s="1"/>
  <c r="AR5" i="11" s="1"/>
  <c r="N6" i="11"/>
  <c r="AS5" i="11" l="1"/>
  <c r="AT5" i="11" s="1"/>
  <c r="AL4" i="11"/>
  <c r="O6" i="11"/>
  <c r="AU5" i="11" l="1"/>
  <c r="AT6" i="11"/>
  <c r="AS4" i="11"/>
  <c r="P6" i="11"/>
  <c r="AV5" i="11" l="1"/>
  <c r="AU6" i="11"/>
  <c r="AW5" i="11" l="1"/>
  <c r="AV6" i="11"/>
  <c r="Q6" i="11"/>
  <c r="R6" i="11"/>
  <c r="AX5" i="11" l="1"/>
  <c r="AW6" i="11"/>
  <c r="S6" i="11"/>
  <c r="AY5" i="11" l="1"/>
  <c r="AZ5" i="11" s="1"/>
  <c r="AX6" i="11"/>
  <c r="T6" i="11"/>
  <c r="AZ6" i="11" l="1"/>
  <c r="BA5" i="11"/>
  <c r="AZ4" i="11"/>
  <c r="AY6" i="11"/>
  <c r="U6" i="11"/>
  <c r="BB5" i="11" l="1"/>
  <c r="BA6" i="11"/>
  <c r="V6" i="11"/>
  <c r="BB6" i="11" l="1"/>
  <c r="BC5" i="11"/>
  <c r="W6" i="11"/>
  <c r="BC6" i="11" l="1"/>
  <c r="BD5" i="11"/>
  <c r="X6" i="11"/>
  <c r="BD6" i="11" l="1"/>
  <c r="BE5" i="11"/>
  <c r="Y6" i="11"/>
  <c r="BF5" i="11" l="1"/>
  <c r="BE6" i="11"/>
  <c r="Z6" i="11"/>
  <c r="BF6" i="11" l="1"/>
  <c r="BG5" i="11"/>
  <c r="AA6" i="11"/>
  <c r="BG6" i="11" l="1"/>
  <c r="BH5" i="11"/>
  <c r="BG4" i="11"/>
  <c r="AB6" i="11"/>
  <c r="BH6" i="11" l="1"/>
  <c r="BI5" i="11"/>
  <c r="AC6" i="11"/>
  <c r="BJ5" i="11" l="1"/>
  <c r="BI6" i="11"/>
  <c r="AD6" i="11"/>
  <c r="BK5" i="11" l="1"/>
  <c r="BJ6" i="11"/>
  <c r="AE6" i="11"/>
  <c r="BL5" i="11" l="1"/>
  <c r="BK6" i="11"/>
  <c r="AF6" i="11"/>
  <c r="BM5" i="11" l="1"/>
  <c r="BL6" i="11"/>
  <c r="AG6" i="11"/>
  <c r="BM6" i="11" l="1"/>
  <c r="AH6" i="11"/>
  <c r="AI6" i="11" l="1"/>
  <c r="AJ6" i="11" l="1"/>
  <c r="AK6" i="11" l="1"/>
  <c r="AL6" i="11" l="1"/>
  <c r="AM6" i="11" l="1"/>
  <c r="AN6" i="11" l="1"/>
  <c r="AO6" i="11" l="1"/>
  <c r="AP6" i="11" l="1"/>
  <c r="AQ6" i="11" l="1"/>
  <c r="AR6" i="11" l="1"/>
  <c r="AS6" i="1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Vertex42.com Templates</author>
  </authors>
  <commentList>
    <comment ref="I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DAYS:</t>
        </r>
        <r>
          <rPr>
            <sz val="9"/>
            <color indexed="81"/>
            <rFont val="Tahoma"/>
            <family val="2"/>
          </rPr>
          <t xml:space="preserve">
This column calculates the duration of the task in calendar days. The duration includes both the Start and End dates.</t>
        </r>
      </text>
    </comment>
  </commentList>
</comments>
</file>

<file path=xl/sharedStrings.xml><?xml version="1.0" encoding="utf-8"?>
<sst xmlns="http://schemas.openxmlformats.org/spreadsheetml/2006/main" count="50" uniqueCount="28">
  <si>
    <t>Task 3</t>
  </si>
  <si>
    <t>Task 4</t>
  </si>
  <si>
    <t>Task 5</t>
  </si>
  <si>
    <t>Phase 2 Title</t>
  </si>
  <si>
    <t>Task 1</t>
  </si>
  <si>
    <t>Task 2</t>
  </si>
  <si>
    <t>Project Start:</t>
  </si>
  <si>
    <t>PROGRESS</t>
  </si>
  <si>
    <t>START</t>
  </si>
  <si>
    <t>END</t>
  </si>
  <si>
    <t>DAYS</t>
  </si>
  <si>
    <t>Display Week:</t>
  </si>
  <si>
    <t>TASK</t>
  </si>
  <si>
    <t>Phase 3 Title</t>
  </si>
  <si>
    <t>Phase 4 Title</t>
  </si>
  <si>
    <t>Phase 5 Title</t>
  </si>
  <si>
    <t>Today:</t>
  </si>
  <si>
    <t>Simone Scainelli</t>
  </si>
  <si>
    <t>DESCRIPTION</t>
  </si>
  <si>
    <t>Homepage</t>
  </si>
  <si>
    <t>Login page</t>
  </si>
  <si>
    <t>SetUp DB</t>
  </si>
  <si>
    <t>Giorgio Cominelli</t>
  </si>
  <si>
    <t>ASSIGNED 
TO</t>
  </si>
  <si>
    <t>Giorgio Cominelli, Simone Scainelli</t>
  </si>
  <si>
    <t>PsyPlatform</t>
  </si>
  <si>
    <t>Documentation</t>
  </si>
  <si>
    <t>Phase 1 Start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</si>
</sst>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m/d/yy;@"/>
    <numFmt numFmtId="165" formatCode="mmm\ d\,\ yyyy"/>
    <numFmt numFmtId="166" formatCode="d"/>
    <numFmt numFmtId="167" formatCode="d/m/yy;@"/>
  </numFmts>
  <fonts count="25" x14ac:knownFonts="1">
    <font>
      <sz val="11"/>
      <color theme="1"/>
      <name val="Calibri"/>
      <family val="2"/>
      <scheme val="minor"/>
    </font>
    <font>
      <b/>
      <sz val="20"/>
      <color theme="4" tint="-0.249977111117893"/>
      <name val="Calibri"/>
      <family val="2"/>
      <scheme val="major"/>
    </font>
    <font>
      <sz val="10"/>
      <name val="Calibri"/>
      <family val="2"/>
      <scheme val="minor"/>
    </font>
    <font>
      <u/>
      <sz val="11"/>
      <color indexed="12"/>
      <name val="Arial"/>
      <family val="2"/>
    </font>
    <font>
      <sz val="10"/>
      <color theme="1" tint="0.499984740745262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color theme="0"/>
      <name val="Calibri"/>
      <family val="2"/>
      <scheme val="minor"/>
    </font>
    <font>
      <b/>
      <sz val="22"/>
      <color theme="1" tint="0.34998626667073579"/>
      <name val="Calibri"/>
      <family val="2"/>
      <scheme val="major"/>
    </font>
    <font>
      <b/>
      <sz val="11"/>
      <color theme="1" tint="0.499984740745262"/>
      <name val="Calibri"/>
      <family val="2"/>
      <scheme val="minor"/>
    </font>
    <font>
      <sz val="10"/>
      <color theme="1" tint="0.499984740745262"/>
      <name val="Arial"/>
      <family val="2"/>
    </font>
    <font>
      <sz val="16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 tint="0.499984740745262"/>
      <name val="Arial"/>
      <family val="2"/>
    </font>
    <font>
      <u/>
      <sz val="9"/>
      <color theme="4" tint="-0.249977111117893"/>
      <name val="Arial"/>
      <family val="2"/>
    </font>
    <font>
      <u/>
      <sz val="11"/>
      <color theme="1"/>
      <name val="Calibri"/>
      <family val="2"/>
      <scheme val="minor"/>
    </font>
    <font>
      <u/>
      <sz val="14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theme="4"/>
      </patternFill>
    </fill>
  </fills>
  <borders count="12">
    <border>
      <left/>
      <right/>
      <top/>
      <bottom/>
      <diagonal/>
    </border>
    <border>
      <left/>
      <right/>
      <top style="thin">
        <color theme="0" tint="-0.34998626667073579"/>
      </top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medium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medium">
        <color theme="0" tint="-0.14996795556505021"/>
      </top>
      <bottom style="medium">
        <color theme="0" tint="-0.14996795556505021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9" fontId="10" fillId="0" borderId="0" applyFont="0" applyFill="0" applyBorder="0" applyAlignment="0" applyProtection="0"/>
  </cellStyleXfs>
  <cellXfs count="98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0" fillId="0" borderId="0" xfId="0" applyAlignment="1">
      <alignment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0" fillId="0" borderId="3" xfId="0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11" fillId="0" borderId="0" xfId="0" applyFont="1"/>
    <xf numFmtId="0" fontId="7" fillId="15" borderId="1" xfId="0" applyFont="1" applyFill="1" applyBorder="1" applyAlignment="1">
      <alignment horizontal="left" vertical="center" indent="1"/>
    </xf>
    <xf numFmtId="0" fontId="7" fillId="15" borderId="1" xfId="0" applyFont="1" applyFill="1" applyBorder="1" applyAlignment="1">
      <alignment horizontal="center" vertical="center" wrapText="1"/>
    </xf>
    <xf numFmtId="166" fontId="12" fillId="8" borderId="0" xfId="0" applyNumberFormat="1" applyFont="1" applyFill="1" applyAlignment="1">
      <alignment horizontal="center" vertical="center"/>
    </xf>
    <xf numFmtId="166" fontId="12" fillId="8" borderId="8" xfId="0" applyNumberFormat="1" applyFont="1" applyFill="1" applyBorder="1" applyAlignment="1">
      <alignment horizontal="center" vertical="center"/>
    </xf>
    <xf numFmtId="166" fontId="12" fillId="8" borderId="9" xfId="0" applyNumberFormat="1" applyFont="1" applyFill="1" applyBorder="1" applyAlignment="1">
      <alignment horizontal="center" vertical="center"/>
    </xf>
    <xf numFmtId="0" fontId="15" fillId="14" borderId="10" xfId="0" applyFont="1" applyFill="1" applyBorder="1" applyAlignment="1">
      <alignment horizontal="center" vertical="center" shrinkToFit="1"/>
    </xf>
    <xf numFmtId="0" fontId="16" fillId="0" borderId="0" xfId="0" applyFont="1" applyAlignment="1">
      <alignment horizontal="left"/>
    </xf>
    <xf numFmtId="0" fontId="17" fillId="0" borderId="0" xfId="0" applyFont="1"/>
    <xf numFmtId="0" fontId="18" fillId="0" borderId="0" xfId="1" applyFont="1" applyAlignment="1" applyProtection="1"/>
    <xf numFmtId="0" fontId="19" fillId="0" borderId="0" xfId="0" applyFont="1" applyAlignment="1">
      <alignment horizontal="right" vertical="center"/>
    </xf>
    <xf numFmtId="0" fontId="0" fillId="0" borderId="2" xfId="0" applyBorder="1" applyAlignment="1">
      <alignment horizontal="left" vertical="center" indent="1"/>
    </xf>
    <xf numFmtId="0" fontId="0" fillId="0" borderId="2" xfId="0" applyBorder="1" applyAlignment="1">
      <alignment horizontal="center" vertical="center"/>
    </xf>
    <xf numFmtId="9" fontId="5" fillId="0" borderId="2" xfId="2" applyFont="1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9" borderId="2" xfId="0" applyFont="1" applyFill="1" applyBorder="1" applyAlignment="1">
      <alignment horizontal="left" vertical="center" indent="1"/>
    </xf>
    <xf numFmtId="0" fontId="6" fillId="9" borderId="2" xfId="0" applyFont="1" applyFill="1" applyBorder="1" applyAlignment="1">
      <alignment horizontal="center" vertical="center"/>
    </xf>
    <xf numFmtId="9" fontId="5" fillId="9" borderId="2" xfId="2" applyFont="1" applyFill="1" applyBorder="1" applyAlignment="1">
      <alignment horizontal="center" vertical="center"/>
    </xf>
    <xf numFmtId="164" fontId="0" fillId="9" borderId="2" xfId="0" applyNumberFormat="1" applyFill="1" applyBorder="1" applyAlignment="1">
      <alignment horizontal="center" vertical="center"/>
    </xf>
    <xf numFmtId="164" fontId="5" fillId="9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left" vertical="center" indent="2"/>
    </xf>
    <xf numFmtId="0" fontId="0" fillId="3" borderId="2" xfId="0" applyFill="1" applyBorder="1" applyAlignment="1">
      <alignment horizontal="center" vertical="center"/>
    </xf>
    <xf numFmtId="9" fontId="5" fillId="3" borderId="2" xfId="2" applyFont="1" applyFill="1" applyBorder="1" applyAlignment="1">
      <alignment horizontal="center" vertical="center"/>
    </xf>
    <xf numFmtId="0" fontId="6" fillId="10" borderId="2" xfId="0" applyFont="1" applyFill="1" applyBorder="1" applyAlignment="1">
      <alignment horizontal="left" vertical="center" indent="1"/>
    </xf>
    <xf numFmtId="0" fontId="6" fillId="10" borderId="2" xfId="0" applyFont="1" applyFill="1" applyBorder="1" applyAlignment="1">
      <alignment horizontal="center" vertical="center"/>
    </xf>
    <xf numFmtId="9" fontId="5" fillId="10" borderId="2" xfId="2" applyFont="1" applyFill="1" applyBorder="1" applyAlignment="1">
      <alignment horizontal="center" vertical="center"/>
    </xf>
    <xf numFmtId="0" fontId="0" fillId="4" borderId="2" xfId="0" applyFill="1" applyBorder="1" applyAlignment="1">
      <alignment horizontal="left" vertical="center" indent="2"/>
    </xf>
    <xf numFmtId="0" fontId="0" fillId="4" borderId="2" xfId="0" applyFill="1" applyBorder="1" applyAlignment="1">
      <alignment horizontal="center" vertical="center"/>
    </xf>
    <xf numFmtId="9" fontId="5" fillId="4" borderId="2" xfId="2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left" vertical="center" indent="1"/>
    </xf>
    <xf numFmtId="0" fontId="6" fillId="6" borderId="2" xfId="0" applyFont="1" applyFill="1" applyBorder="1" applyAlignment="1">
      <alignment horizontal="center" vertical="center"/>
    </xf>
    <xf numFmtId="9" fontId="5" fillId="6" borderId="2" xfId="2" applyFont="1" applyFill="1" applyBorder="1" applyAlignment="1">
      <alignment horizontal="center" vertical="center"/>
    </xf>
    <xf numFmtId="0" fontId="0" fillId="13" borderId="2" xfId="0" applyFill="1" applyBorder="1" applyAlignment="1">
      <alignment horizontal="left" vertical="center" indent="2"/>
    </xf>
    <xf numFmtId="0" fontId="0" fillId="13" borderId="2" xfId="0" applyFill="1" applyBorder="1" applyAlignment="1">
      <alignment horizontal="center" vertical="center"/>
    </xf>
    <xf numFmtId="9" fontId="5" fillId="13" borderId="2" xfId="2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left" vertical="center" indent="1"/>
    </xf>
    <xf numFmtId="0" fontId="6" fillId="5" borderId="2" xfId="0" applyFont="1" applyFill="1" applyBorder="1" applyAlignment="1">
      <alignment horizontal="center" vertical="center"/>
    </xf>
    <xf numFmtId="9" fontId="5" fillId="5" borderId="2" xfId="2" applyFont="1" applyFill="1" applyBorder="1" applyAlignment="1">
      <alignment horizontal="center" vertical="center"/>
    </xf>
    <xf numFmtId="0" fontId="0" fillId="11" borderId="2" xfId="0" applyFill="1" applyBorder="1" applyAlignment="1">
      <alignment horizontal="left" vertical="center" indent="2"/>
    </xf>
    <xf numFmtId="0" fontId="0" fillId="11" borderId="2" xfId="0" applyFill="1" applyBorder="1" applyAlignment="1">
      <alignment horizontal="center" vertical="center"/>
    </xf>
    <xf numFmtId="9" fontId="5" fillId="11" borderId="2" xfId="2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left" vertical="center" indent="1"/>
    </xf>
    <xf numFmtId="0" fontId="6" fillId="7" borderId="2" xfId="0" applyFont="1" applyFill="1" applyBorder="1" applyAlignment="1">
      <alignment horizontal="center" vertical="center"/>
    </xf>
    <xf numFmtId="9" fontId="5" fillId="7" borderId="2" xfId="2" applyFont="1" applyFill="1" applyBorder="1" applyAlignment="1">
      <alignment horizontal="center" vertical="center"/>
    </xf>
    <xf numFmtId="0" fontId="0" fillId="12" borderId="2" xfId="0" applyFill="1" applyBorder="1" applyAlignment="1">
      <alignment horizontal="left" vertical="center" indent="2"/>
    </xf>
    <xf numFmtId="0" fontId="0" fillId="12" borderId="2" xfId="0" applyFill="1" applyBorder="1" applyAlignment="1">
      <alignment horizontal="center" vertical="center"/>
    </xf>
    <xf numFmtId="9" fontId="5" fillId="12" borderId="2" xfId="2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center" vertical="center"/>
    </xf>
    <xf numFmtId="9" fontId="5" fillId="2" borderId="2" xfId="2" applyFont="1" applyFill="1" applyBorder="1" applyAlignment="1">
      <alignment horizontal="center" vertical="center"/>
    </xf>
    <xf numFmtId="164" fontId="4" fillId="2" borderId="2" xfId="0" applyNumberFormat="1" applyFont="1" applyFill="1" applyBorder="1" applyAlignment="1">
      <alignment horizontal="left" vertical="center"/>
    </xf>
    <xf numFmtId="164" fontId="5" fillId="2" borderId="2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0" fillId="0" borderId="11" xfId="0" applyBorder="1" applyAlignment="1">
      <alignment vertical="center"/>
    </xf>
    <xf numFmtId="0" fontId="0" fillId="0" borderId="11" xfId="0" applyBorder="1" applyAlignment="1">
      <alignment horizontal="right" vertical="center"/>
    </xf>
    <xf numFmtId="0" fontId="0" fillId="2" borderId="11" xfId="0" applyFill="1" applyBorder="1" applyAlignment="1">
      <alignment vertical="center"/>
    </xf>
    <xf numFmtId="14" fontId="20" fillId="0" borderId="0" xfId="0" applyNumberFormat="1" applyFont="1" applyAlignment="1">
      <alignment horizontal="center"/>
    </xf>
    <xf numFmtId="0" fontId="2" fillId="0" borderId="0" xfId="0" applyFont="1" applyAlignment="1">
      <alignment horizontal="right" vertical="center"/>
    </xf>
    <xf numFmtId="0" fontId="21" fillId="0" borderId="0" xfId="0" applyFont="1"/>
    <xf numFmtId="0" fontId="21" fillId="0" borderId="0" xfId="1" applyFont="1" applyAlignment="1" applyProtection="1"/>
    <xf numFmtId="167" fontId="0" fillId="13" borderId="2" xfId="0" applyNumberFormat="1" applyFill="1" applyBorder="1" applyAlignment="1">
      <alignment horizontal="center" vertical="center"/>
    </xf>
    <xf numFmtId="167" fontId="5" fillId="13" borderId="2" xfId="0" applyNumberFormat="1" applyFont="1" applyFill="1" applyBorder="1" applyAlignment="1">
      <alignment horizontal="center" vertical="center"/>
    </xf>
    <xf numFmtId="167" fontId="0" fillId="5" borderId="2" xfId="0" applyNumberFormat="1" applyFill="1" applyBorder="1" applyAlignment="1">
      <alignment horizontal="center" vertical="center"/>
    </xf>
    <xf numFmtId="167" fontId="5" fillId="5" borderId="2" xfId="0" applyNumberFormat="1" applyFont="1" applyFill="1" applyBorder="1" applyAlignment="1">
      <alignment horizontal="center" vertical="center"/>
    </xf>
    <xf numFmtId="167" fontId="0" fillId="11" borderId="2" xfId="0" applyNumberFormat="1" applyFill="1" applyBorder="1" applyAlignment="1">
      <alignment horizontal="center" vertical="center"/>
    </xf>
    <xf numFmtId="167" fontId="5" fillId="11" borderId="2" xfId="0" applyNumberFormat="1" applyFont="1" applyFill="1" applyBorder="1" applyAlignment="1">
      <alignment horizontal="center" vertical="center"/>
    </xf>
    <xf numFmtId="167" fontId="0" fillId="7" borderId="2" xfId="0" applyNumberFormat="1" applyFill="1" applyBorder="1" applyAlignment="1">
      <alignment horizontal="center" vertical="center"/>
    </xf>
    <xf numFmtId="167" fontId="5" fillId="7" borderId="2" xfId="0" applyNumberFormat="1" applyFont="1" applyFill="1" applyBorder="1" applyAlignment="1">
      <alignment horizontal="center" vertical="center"/>
    </xf>
    <xf numFmtId="167" fontId="0" fillId="12" borderId="2" xfId="0" applyNumberFormat="1" applyFill="1" applyBorder="1" applyAlignment="1">
      <alignment horizontal="center" vertical="center"/>
    </xf>
    <xf numFmtId="167" fontId="5" fillId="12" borderId="2" xfId="0" applyNumberFormat="1" applyFont="1" applyFill="1" applyBorder="1" applyAlignment="1">
      <alignment horizontal="center" vertical="center"/>
    </xf>
    <xf numFmtId="167" fontId="0" fillId="3" borderId="2" xfId="0" applyNumberFormat="1" applyFill="1" applyBorder="1" applyAlignment="1">
      <alignment horizontal="center" vertical="center"/>
    </xf>
    <xf numFmtId="167" fontId="5" fillId="3" borderId="2" xfId="0" applyNumberFormat="1" applyFont="1" applyFill="1" applyBorder="1" applyAlignment="1">
      <alignment horizontal="center" vertical="center"/>
    </xf>
    <xf numFmtId="167" fontId="0" fillId="10" borderId="2" xfId="0" applyNumberFormat="1" applyFill="1" applyBorder="1" applyAlignment="1">
      <alignment horizontal="center" vertical="center"/>
    </xf>
    <xf numFmtId="167" fontId="5" fillId="10" borderId="2" xfId="0" applyNumberFormat="1" applyFont="1" applyFill="1" applyBorder="1" applyAlignment="1">
      <alignment horizontal="center" vertical="center"/>
    </xf>
    <xf numFmtId="167" fontId="0" fillId="4" borderId="2" xfId="0" applyNumberFormat="1" applyFill="1" applyBorder="1" applyAlignment="1">
      <alignment horizontal="center" vertical="center"/>
    </xf>
    <xf numFmtId="167" fontId="5" fillId="4" borderId="2" xfId="0" applyNumberFormat="1" applyFont="1" applyFill="1" applyBorder="1" applyAlignment="1">
      <alignment horizontal="center" vertical="center"/>
    </xf>
    <xf numFmtId="167" fontId="0" fillId="6" borderId="2" xfId="0" applyNumberFormat="1" applyFill="1" applyBorder="1" applyAlignment="1">
      <alignment horizontal="center" vertical="center"/>
    </xf>
    <xf numFmtId="167" fontId="5" fillId="6" borderId="2" xfId="0" applyNumberFormat="1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167" fontId="23" fillId="4" borderId="2" xfId="0" applyNumberFormat="1" applyFont="1" applyFill="1" applyBorder="1" applyAlignment="1">
      <alignment horizontal="center" vertical="center"/>
    </xf>
    <xf numFmtId="0" fontId="24" fillId="0" borderId="0" xfId="0" applyFont="1"/>
    <xf numFmtId="167" fontId="0" fillId="0" borderId="4" xfId="0" applyNumberFormat="1" applyBorder="1" applyAlignment="1">
      <alignment horizontal="center" vertical="center"/>
    </xf>
    <xf numFmtId="167" fontId="0" fillId="0" borderId="5" xfId="0" applyNumberFormat="1" applyBorder="1" applyAlignment="1">
      <alignment horizontal="center" vertical="center"/>
    </xf>
    <xf numFmtId="165" fontId="0" fillId="8" borderId="6" xfId="0" applyNumberFormat="1" applyFill="1" applyBorder="1" applyAlignment="1">
      <alignment horizontal="left" vertical="center" wrapText="1" indent="1"/>
    </xf>
    <xf numFmtId="165" fontId="0" fillId="8" borderId="1" xfId="0" applyNumberFormat="1" applyFill="1" applyBorder="1" applyAlignment="1">
      <alignment horizontal="left" vertical="center" wrapText="1" indent="1"/>
    </xf>
    <xf numFmtId="165" fontId="0" fillId="8" borderId="7" xfId="0" applyNumberFormat="1" applyFill="1" applyBorder="1" applyAlignment="1">
      <alignment horizontal="left" vertical="center" wrapText="1" indent="1"/>
    </xf>
    <xf numFmtId="0" fontId="22" fillId="0" borderId="0" xfId="1" applyFont="1" applyAlignment="1" applyProtection="1">
      <alignment horizontal="left" vertical="center"/>
    </xf>
  </cellXfs>
  <cellStyles count="3">
    <cellStyle name="Collegamento ipertestuale" xfId="1" builtinId="8" customBuiltin="1"/>
    <cellStyle name="Normale" xfId="0" builtinId="0"/>
    <cellStyle name="Percentuale" xfId="2" builtinId="5"/>
  </cellStyles>
  <dxfs count="12">
    <dxf>
      <fill>
        <patternFill>
          <bgColor theme="7"/>
        </patternFill>
      </fill>
      <border>
        <left/>
        <right/>
      </border>
    </dxf>
    <dxf>
      <fill>
        <patternFill>
          <bgColor theme="0" tint="-0.34998626667073579"/>
        </patternFill>
      </fill>
    </dxf>
    <dxf>
      <border>
        <left style="thin">
          <color rgb="FFC00000"/>
        </left>
        <right style="thin">
          <color rgb="FFC00000"/>
        </right>
        <vertical/>
        <horizontal/>
      </border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ToDoList" pivot="0" count="9" xr9:uid="{00000000-0011-0000-FFFF-FFFF00000000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secondRowStripe" dxfId="5"/>
      <tableStyleElement type="firstColumnStripe" dxfId="4"/>
      <tableStyleElement type="secondColumn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BM45"/>
  <sheetViews>
    <sheetView showGridLines="0" tabSelected="1" showRuler="0" zoomScaleNormal="100" zoomScalePageLayoutView="70" workbookViewId="0">
      <pane ySplit="6" topLeftCell="A7" activePane="bottomLeft" state="frozen"/>
      <selection pane="bottomLeft" activeCell="F7" sqref="F7"/>
    </sheetView>
  </sheetViews>
  <sheetFormatPr defaultRowHeight="14.5" x14ac:dyDescent="0.35"/>
  <cols>
    <col min="1" max="1" width="2.7265625" customWidth="1"/>
    <col min="2" max="2" width="19.81640625" customWidth="1"/>
    <col min="3" max="3" width="21" customWidth="1"/>
    <col min="4" max="4" width="20.54296875" customWidth="1"/>
    <col min="5" max="5" width="10.7265625" customWidth="1"/>
    <col min="6" max="6" width="10.453125" style="5" customWidth="1"/>
    <col min="7" max="7" width="10.453125" customWidth="1"/>
    <col min="8" max="8" width="2.7265625" customWidth="1"/>
    <col min="9" max="9" width="5" bestFit="1" customWidth="1"/>
    <col min="10" max="10" width="2.7265625" bestFit="1" customWidth="1"/>
    <col min="11" max="65" width="2.54296875" customWidth="1"/>
    <col min="70" max="71" width="10.26953125"/>
  </cols>
  <sheetData>
    <row r="1" spans="1:65" ht="28.5" x14ac:dyDescent="0.65">
      <c r="B1" s="16" t="s">
        <v>25</v>
      </c>
      <c r="C1" s="16"/>
      <c r="D1" s="1"/>
      <c r="E1" s="2"/>
      <c r="F1" s="4"/>
      <c r="G1" s="68"/>
      <c r="I1" s="2"/>
      <c r="J1" s="8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</row>
    <row r="2" spans="1:65" ht="19.5" customHeight="1" x14ac:dyDescent="0.45">
      <c r="B2" s="9"/>
      <c r="C2" s="9"/>
      <c r="E2" s="6" t="s">
        <v>6</v>
      </c>
      <c r="F2" s="92">
        <f>DATE(2025,11,10)</f>
        <v>45971</v>
      </c>
      <c r="G2" s="93"/>
    </row>
    <row r="3" spans="1:65" ht="19.5" customHeight="1" x14ac:dyDescent="0.45">
      <c r="B3" s="91" t="s">
        <v>24</v>
      </c>
      <c r="C3" s="9"/>
      <c r="E3" s="6" t="s">
        <v>16</v>
      </c>
      <c r="F3" s="92">
        <f ca="1">TODAY()</f>
        <v>45978</v>
      </c>
      <c r="G3" s="93"/>
    </row>
    <row r="4" spans="1:65" ht="19.5" customHeight="1" x14ac:dyDescent="0.35">
      <c r="E4" s="6" t="s">
        <v>11</v>
      </c>
      <c r="F4" s="7">
        <v>1</v>
      </c>
      <c r="J4" s="94">
        <f>J5</f>
        <v>45971</v>
      </c>
      <c r="K4" s="95"/>
      <c r="L4" s="95"/>
      <c r="M4" s="95"/>
      <c r="N4" s="95"/>
      <c r="O4" s="95"/>
      <c r="P4" s="96"/>
      <c r="Q4" s="94">
        <f>Q5</f>
        <v>45978</v>
      </c>
      <c r="R4" s="95"/>
      <c r="S4" s="95"/>
      <c r="T4" s="95"/>
      <c r="U4" s="95"/>
      <c r="V4" s="95"/>
      <c r="W4" s="96"/>
      <c r="X4" s="94">
        <f>X5</f>
        <v>45985</v>
      </c>
      <c r="Y4" s="95"/>
      <c r="Z4" s="95"/>
      <c r="AA4" s="95"/>
      <c r="AB4" s="95"/>
      <c r="AC4" s="95"/>
      <c r="AD4" s="96"/>
      <c r="AE4" s="94">
        <f>AE5</f>
        <v>45992</v>
      </c>
      <c r="AF4" s="95"/>
      <c r="AG4" s="95"/>
      <c r="AH4" s="95"/>
      <c r="AI4" s="95"/>
      <c r="AJ4" s="95"/>
      <c r="AK4" s="96"/>
      <c r="AL4" s="94">
        <f>AL5</f>
        <v>45999</v>
      </c>
      <c r="AM4" s="95"/>
      <c r="AN4" s="95"/>
      <c r="AO4" s="95"/>
      <c r="AP4" s="95"/>
      <c r="AQ4" s="95"/>
      <c r="AR4" s="96"/>
      <c r="AS4" s="94">
        <f>AS5</f>
        <v>46006</v>
      </c>
      <c r="AT4" s="95"/>
      <c r="AU4" s="95"/>
      <c r="AV4" s="95"/>
      <c r="AW4" s="95"/>
      <c r="AX4" s="95"/>
      <c r="AY4" s="96"/>
      <c r="AZ4" s="94">
        <f>AZ5</f>
        <v>46013</v>
      </c>
      <c r="BA4" s="95"/>
      <c r="BB4" s="95"/>
      <c r="BC4" s="95"/>
      <c r="BD4" s="95"/>
      <c r="BE4" s="95"/>
      <c r="BF4" s="96"/>
      <c r="BG4" s="94">
        <f>BG5</f>
        <v>46020</v>
      </c>
      <c r="BH4" s="95"/>
      <c r="BI4" s="95"/>
      <c r="BJ4" s="95"/>
      <c r="BK4" s="95"/>
      <c r="BL4" s="95"/>
      <c r="BM4" s="96"/>
    </row>
    <row r="5" spans="1:65" x14ac:dyDescent="0.35">
      <c r="A5" s="6"/>
      <c r="H5" s="6"/>
      <c r="J5" s="13">
        <f>F2-WEEKDAY(F2,1)+2+7*(F4-1)</f>
        <v>45971</v>
      </c>
      <c r="K5" s="12">
        <f>J5+1</f>
        <v>45972</v>
      </c>
      <c r="L5" s="12">
        <f t="shared" ref="L5:AY5" si="0">K5+1</f>
        <v>45973</v>
      </c>
      <c r="M5" s="12">
        <f t="shared" si="0"/>
        <v>45974</v>
      </c>
      <c r="N5" s="12">
        <f t="shared" si="0"/>
        <v>45975</v>
      </c>
      <c r="O5" s="12">
        <f t="shared" si="0"/>
        <v>45976</v>
      </c>
      <c r="P5" s="14">
        <f t="shared" si="0"/>
        <v>45977</v>
      </c>
      <c r="Q5" s="13">
        <f>P5+1</f>
        <v>45978</v>
      </c>
      <c r="R5" s="12">
        <f>Q5+1</f>
        <v>45979</v>
      </c>
      <c r="S5" s="12">
        <f t="shared" si="0"/>
        <v>45980</v>
      </c>
      <c r="T5" s="12">
        <f t="shared" si="0"/>
        <v>45981</v>
      </c>
      <c r="U5" s="12">
        <f t="shared" si="0"/>
        <v>45982</v>
      </c>
      <c r="V5" s="12">
        <f t="shared" si="0"/>
        <v>45983</v>
      </c>
      <c r="W5" s="14">
        <f t="shared" si="0"/>
        <v>45984</v>
      </c>
      <c r="X5" s="13">
        <f>W5+1</f>
        <v>45985</v>
      </c>
      <c r="Y5" s="12">
        <f>X5+1</f>
        <v>45986</v>
      </c>
      <c r="Z5" s="12">
        <f t="shared" si="0"/>
        <v>45987</v>
      </c>
      <c r="AA5" s="12">
        <f t="shared" si="0"/>
        <v>45988</v>
      </c>
      <c r="AB5" s="12">
        <f t="shared" si="0"/>
        <v>45989</v>
      </c>
      <c r="AC5" s="12">
        <f t="shared" si="0"/>
        <v>45990</v>
      </c>
      <c r="AD5" s="14">
        <f t="shared" si="0"/>
        <v>45991</v>
      </c>
      <c r="AE5" s="13">
        <f>AD5+1</f>
        <v>45992</v>
      </c>
      <c r="AF5" s="12">
        <f>AE5+1</f>
        <v>45993</v>
      </c>
      <c r="AG5" s="12">
        <f t="shared" si="0"/>
        <v>45994</v>
      </c>
      <c r="AH5" s="12">
        <f t="shared" si="0"/>
        <v>45995</v>
      </c>
      <c r="AI5" s="12">
        <f t="shared" si="0"/>
        <v>45996</v>
      </c>
      <c r="AJ5" s="12">
        <f t="shared" si="0"/>
        <v>45997</v>
      </c>
      <c r="AK5" s="14">
        <f t="shared" si="0"/>
        <v>45998</v>
      </c>
      <c r="AL5" s="13">
        <f>AK5+1</f>
        <v>45999</v>
      </c>
      <c r="AM5" s="12">
        <f>AL5+1</f>
        <v>46000</v>
      </c>
      <c r="AN5" s="12">
        <f t="shared" si="0"/>
        <v>46001</v>
      </c>
      <c r="AO5" s="12">
        <f t="shared" si="0"/>
        <v>46002</v>
      </c>
      <c r="AP5" s="12">
        <f t="shared" si="0"/>
        <v>46003</v>
      </c>
      <c r="AQ5" s="12">
        <f t="shared" si="0"/>
        <v>46004</v>
      </c>
      <c r="AR5" s="14">
        <f t="shared" si="0"/>
        <v>46005</v>
      </c>
      <c r="AS5" s="13">
        <f>AR5+1</f>
        <v>46006</v>
      </c>
      <c r="AT5" s="12">
        <f>AS5+1</f>
        <v>46007</v>
      </c>
      <c r="AU5" s="12">
        <f t="shared" si="0"/>
        <v>46008</v>
      </c>
      <c r="AV5" s="12">
        <f t="shared" si="0"/>
        <v>46009</v>
      </c>
      <c r="AW5" s="12">
        <f t="shared" si="0"/>
        <v>46010</v>
      </c>
      <c r="AX5" s="12">
        <f t="shared" si="0"/>
        <v>46011</v>
      </c>
      <c r="AY5" s="14">
        <f t="shared" si="0"/>
        <v>46012</v>
      </c>
      <c r="AZ5" s="13">
        <f>AY5+1</f>
        <v>46013</v>
      </c>
      <c r="BA5" s="12">
        <f>AZ5+1</f>
        <v>46014</v>
      </c>
      <c r="BB5" s="12">
        <f t="shared" ref="BB5:BF5" si="1">BA5+1</f>
        <v>46015</v>
      </c>
      <c r="BC5" s="12">
        <f t="shared" si="1"/>
        <v>46016</v>
      </c>
      <c r="BD5" s="12">
        <f t="shared" si="1"/>
        <v>46017</v>
      </c>
      <c r="BE5" s="12">
        <f t="shared" si="1"/>
        <v>46018</v>
      </c>
      <c r="BF5" s="14">
        <f t="shared" si="1"/>
        <v>46019</v>
      </c>
      <c r="BG5" s="13">
        <f>BF5+1</f>
        <v>46020</v>
      </c>
      <c r="BH5" s="12">
        <f>BG5+1</f>
        <v>46021</v>
      </c>
      <c r="BI5" s="12">
        <f t="shared" ref="BI5:BM5" si="2">BH5+1</f>
        <v>46022</v>
      </c>
      <c r="BJ5" s="12">
        <f t="shared" si="2"/>
        <v>46023</v>
      </c>
      <c r="BK5" s="12">
        <f t="shared" si="2"/>
        <v>46024</v>
      </c>
      <c r="BL5" s="12">
        <f t="shared" si="2"/>
        <v>46025</v>
      </c>
      <c r="BM5" s="14">
        <f t="shared" si="2"/>
        <v>46026</v>
      </c>
    </row>
    <row r="6" spans="1:65" ht="29.25" customHeight="1" thickBot="1" x14ac:dyDescent="0.4">
      <c r="A6" s="19"/>
      <c r="B6" s="10" t="s">
        <v>12</v>
      </c>
      <c r="C6" s="10" t="s">
        <v>18</v>
      </c>
      <c r="D6" s="89" t="s">
        <v>23</v>
      </c>
      <c r="E6" s="11" t="s">
        <v>7</v>
      </c>
      <c r="F6" s="11" t="s">
        <v>8</v>
      </c>
      <c r="G6" s="11" t="s">
        <v>9</v>
      </c>
      <c r="H6" s="11"/>
      <c r="I6" s="11" t="s">
        <v>10</v>
      </c>
      <c r="J6" s="15" t="str">
        <f t="shared" ref="J6" si="3">LEFT(TEXT(J5,"ddd"),1)</f>
        <v>d</v>
      </c>
      <c r="K6" s="15" t="str">
        <f t="shared" ref="K6:AS6" si="4">LEFT(TEXT(K5,"ddd"),1)</f>
        <v>d</v>
      </c>
      <c r="L6" s="15" t="str">
        <f t="shared" si="4"/>
        <v>d</v>
      </c>
      <c r="M6" s="15" t="str">
        <f t="shared" si="4"/>
        <v>d</v>
      </c>
      <c r="N6" s="15" t="str">
        <f t="shared" si="4"/>
        <v>d</v>
      </c>
      <c r="O6" s="15" t="str">
        <f t="shared" si="4"/>
        <v>d</v>
      </c>
      <c r="P6" s="15" t="str">
        <f t="shared" si="4"/>
        <v>d</v>
      </c>
      <c r="Q6" s="15" t="str">
        <f t="shared" si="4"/>
        <v>d</v>
      </c>
      <c r="R6" s="15" t="str">
        <f t="shared" si="4"/>
        <v>d</v>
      </c>
      <c r="S6" s="15" t="str">
        <f t="shared" si="4"/>
        <v>d</v>
      </c>
      <c r="T6" s="15" t="str">
        <f t="shared" si="4"/>
        <v>d</v>
      </c>
      <c r="U6" s="15" t="str">
        <f t="shared" si="4"/>
        <v>d</v>
      </c>
      <c r="V6" s="15" t="str">
        <f t="shared" si="4"/>
        <v>d</v>
      </c>
      <c r="W6" s="15" t="str">
        <f t="shared" si="4"/>
        <v>d</v>
      </c>
      <c r="X6" s="15" t="str">
        <f t="shared" si="4"/>
        <v>d</v>
      </c>
      <c r="Y6" s="15" t="str">
        <f t="shared" si="4"/>
        <v>d</v>
      </c>
      <c r="Z6" s="15" t="str">
        <f t="shared" si="4"/>
        <v>d</v>
      </c>
      <c r="AA6" s="15" t="str">
        <f t="shared" si="4"/>
        <v>d</v>
      </c>
      <c r="AB6" s="15" t="str">
        <f t="shared" si="4"/>
        <v>d</v>
      </c>
      <c r="AC6" s="15" t="str">
        <f t="shared" si="4"/>
        <v>d</v>
      </c>
      <c r="AD6" s="15" t="str">
        <f t="shared" si="4"/>
        <v>d</v>
      </c>
      <c r="AE6" s="15" t="str">
        <f t="shared" si="4"/>
        <v>d</v>
      </c>
      <c r="AF6" s="15" t="str">
        <f t="shared" si="4"/>
        <v>d</v>
      </c>
      <c r="AG6" s="15" t="str">
        <f t="shared" si="4"/>
        <v>d</v>
      </c>
      <c r="AH6" s="15" t="str">
        <f t="shared" si="4"/>
        <v>d</v>
      </c>
      <c r="AI6" s="15" t="str">
        <f t="shared" si="4"/>
        <v>d</v>
      </c>
      <c r="AJ6" s="15" t="str">
        <f t="shared" si="4"/>
        <v>d</v>
      </c>
      <c r="AK6" s="15" t="str">
        <f t="shared" si="4"/>
        <v>d</v>
      </c>
      <c r="AL6" s="15" t="str">
        <f t="shared" si="4"/>
        <v>d</v>
      </c>
      <c r="AM6" s="15" t="str">
        <f t="shared" si="4"/>
        <v>d</v>
      </c>
      <c r="AN6" s="15" t="str">
        <f t="shared" si="4"/>
        <v>d</v>
      </c>
      <c r="AO6" s="15" t="str">
        <f t="shared" si="4"/>
        <v>d</v>
      </c>
      <c r="AP6" s="15" t="str">
        <f t="shared" si="4"/>
        <v>d</v>
      </c>
      <c r="AQ6" s="15" t="str">
        <f t="shared" si="4"/>
        <v>d</v>
      </c>
      <c r="AR6" s="15" t="str">
        <f t="shared" si="4"/>
        <v>d</v>
      </c>
      <c r="AS6" s="15" t="str">
        <f t="shared" si="4"/>
        <v>d</v>
      </c>
      <c r="AT6" s="15" t="str">
        <f t="shared" ref="AT6:BM6" si="5">LEFT(TEXT(AT5,"ddd"),1)</f>
        <v>d</v>
      </c>
      <c r="AU6" s="15" t="str">
        <f t="shared" si="5"/>
        <v>d</v>
      </c>
      <c r="AV6" s="15" t="str">
        <f t="shared" si="5"/>
        <v>d</v>
      </c>
      <c r="AW6" s="15" t="str">
        <f t="shared" si="5"/>
        <v>d</v>
      </c>
      <c r="AX6" s="15" t="str">
        <f t="shared" si="5"/>
        <v>d</v>
      </c>
      <c r="AY6" s="15" t="str">
        <f t="shared" si="5"/>
        <v>d</v>
      </c>
      <c r="AZ6" s="15" t="str">
        <f t="shared" si="5"/>
        <v>d</v>
      </c>
      <c r="BA6" s="15" t="str">
        <f t="shared" si="5"/>
        <v>d</v>
      </c>
      <c r="BB6" s="15" t="str">
        <f t="shared" si="5"/>
        <v>d</v>
      </c>
      <c r="BC6" s="15" t="str">
        <f t="shared" si="5"/>
        <v>d</v>
      </c>
      <c r="BD6" s="15" t="str">
        <f t="shared" si="5"/>
        <v>d</v>
      </c>
      <c r="BE6" s="15" t="str">
        <f t="shared" si="5"/>
        <v>d</v>
      </c>
      <c r="BF6" s="15" t="str">
        <f t="shared" si="5"/>
        <v>d</v>
      </c>
      <c r="BG6" s="15" t="str">
        <f t="shared" si="5"/>
        <v>d</v>
      </c>
      <c r="BH6" s="15" t="str">
        <f t="shared" si="5"/>
        <v>d</v>
      </c>
      <c r="BI6" s="15" t="str">
        <f t="shared" si="5"/>
        <v>d</v>
      </c>
      <c r="BJ6" s="15" t="str">
        <f t="shared" si="5"/>
        <v>d</v>
      </c>
      <c r="BK6" s="15" t="str">
        <f t="shared" si="5"/>
        <v>d</v>
      </c>
      <c r="BL6" s="15" t="str">
        <f t="shared" si="5"/>
        <v>d</v>
      </c>
      <c r="BM6" s="15" t="str">
        <f t="shared" si="5"/>
        <v>d</v>
      </c>
    </row>
    <row r="7" spans="1:65" s="3" customFormat="1" ht="21.5" thickBot="1" x14ac:dyDescent="0.4">
      <c r="A7" s="19"/>
      <c r="B7" s="20"/>
      <c r="C7" s="20"/>
      <c r="D7" s="21"/>
      <c r="E7" s="22"/>
      <c r="F7" s="23"/>
      <c r="G7" s="24"/>
      <c r="H7" s="25"/>
      <c r="I7" s="25" t="str">
        <f t="shared" ref="I7:I41" si="6">IF(OR(ISBLANK(task_start),ISBLANK(task_end)),"",task_end-task_start+1)</f>
        <v/>
      </c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</row>
    <row r="8" spans="1:65" s="3" customFormat="1" ht="21.5" thickBot="1" x14ac:dyDescent="0.4">
      <c r="A8" s="19"/>
      <c r="B8" s="26" t="s">
        <v>27</v>
      </c>
      <c r="C8" s="26"/>
      <c r="D8" s="27"/>
      <c r="E8" s="28"/>
      <c r="F8" s="29"/>
      <c r="G8" s="30"/>
      <c r="H8" s="25"/>
      <c r="I8" s="25" t="str">
        <f t="shared" si="6"/>
        <v/>
      </c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64"/>
      <c r="AN8" s="64"/>
      <c r="AO8" s="64"/>
      <c r="AP8" s="64"/>
      <c r="AQ8" s="64"/>
      <c r="AR8" s="64"/>
      <c r="AS8" s="64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</row>
    <row r="9" spans="1:65" s="3" customFormat="1" ht="21.5" thickBot="1" x14ac:dyDescent="0.4">
      <c r="A9" s="19"/>
      <c r="B9" s="31" t="s">
        <v>4</v>
      </c>
      <c r="C9" s="31" t="s">
        <v>19</v>
      </c>
      <c r="D9" s="32" t="s">
        <v>17</v>
      </c>
      <c r="E9" s="33">
        <v>1</v>
      </c>
      <c r="F9" s="81">
        <v>45971</v>
      </c>
      <c r="G9" s="82">
        <v>45972</v>
      </c>
      <c r="H9" s="25"/>
      <c r="I9" s="25">
        <f t="shared" si="6"/>
        <v>2</v>
      </c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64"/>
      <c r="AH9" s="64"/>
      <c r="AI9" s="64"/>
      <c r="AJ9" s="64"/>
      <c r="AK9" s="64"/>
      <c r="AL9" s="64"/>
      <c r="AM9" s="64"/>
      <c r="AN9" s="64"/>
      <c r="AO9" s="64"/>
      <c r="AP9" s="64"/>
      <c r="AQ9" s="64"/>
      <c r="AR9" s="64"/>
      <c r="AS9" s="64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</row>
    <row r="10" spans="1:65" s="3" customFormat="1" ht="21.5" thickBot="1" x14ac:dyDescent="0.4">
      <c r="A10" s="19"/>
      <c r="B10" s="31" t="s">
        <v>5</v>
      </c>
      <c r="C10" s="31" t="s">
        <v>20</v>
      </c>
      <c r="D10" s="32" t="s">
        <v>17</v>
      </c>
      <c r="E10" s="33">
        <v>0.5</v>
      </c>
      <c r="F10" s="81">
        <v>45976</v>
      </c>
      <c r="G10" s="82">
        <v>45984</v>
      </c>
      <c r="H10" s="25"/>
      <c r="I10" s="25">
        <f>IF(OR(ISBLANK(task_start),ISBLANK(task_end)),"",task_end-task_start+1)</f>
        <v>9</v>
      </c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5"/>
      <c r="W10" s="65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4"/>
      <c r="AP10" s="64"/>
      <c r="AQ10" s="64"/>
      <c r="AR10" s="64"/>
      <c r="AS10" s="64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</row>
    <row r="11" spans="1:65" s="3" customFormat="1" ht="21.5" thickBot="1" x14ac:dyDescent="0.4">
      <c r="A11" s="19"/>
      <c r="B11" s="31" t="s">
        <v>0</v>
      </c>
      <c r="C11" s="31" t="s">
        <v>21</v>
      </c>
      <c r="D11" s="32" t="s">
        <v>22</v>
      </c>
      <c r="E11" s="33">
        <v>0.25</v>
      </c>
      <c r="F11" s="82">
        <v>45971</v>
      </c>
      <c r="G11" s="82">
        <v>45979</v>
      </c>
      <c r="H11" s="25"/>
      <c r="I11" s="25">
        <f t="shared" si="6"/>
        <v>9</v>
      </c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</row>
    <row r="12" spans="1:65" s="3" customFormat="1" ht="21.5" thickBot="1" x14ac:dyDescent="0.4">
      <c r="A12" s="19"/>
      <c r="B12" s="31" t="s">
        <v>1</v>
      </c>
      <c r="C12" s="31" t="s">
        <v>26</v>
      </c>
      <c r="D12" s="32" t="s">
        <v>22</v>
      </c>
      <c r="E12" s="33">
        <v>0.5</v>
      </c>
      <c r="F12" s="81">
        <v>45976</v>
      </c>
      <c r="G12" s="82">
        <v>46037</v>
      </c>
      <c r="H12" s="25"/>
      <c r="I12" s="25">
        <f t="shared" si="6"/>
        <v>62</v>
      </c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5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4"/>
      <c r="AP12" s="64"/>
      <c r="AQ12" s="64"/>
      <c r="AR12" s="64"/>
      <c r="AS12" s="64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</row>
    <row r="13" spans="1:65" s="3" customFormat="1" ht="21.5" thickBot="1" x14ac:dyDescent="0.4">
      <c r="A13" s="19"/>
      <c r="B13" s="31" t="s">
        <v>2</v>
      </c>
      <c r="C13" s="31"/>
      <c r="D13" s="32"/>
      <c r="E13" s="33"/>
      <c r="F13" s="81"/>
      <c r="G13" s="82"/>
      <c r="H13" s="25"/>
      <c r="I13" s="25" t="str">
        <f t="shared" si="6"/>
        <v/>
      </c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</row>
    <row r="14" spans="1:65" s="3" customFormat="1" ht="21.5" thickBot="1" x14ac:dyDescent="0.4">
      <c r="A14" s="19"/>
      <c r="B14" s="34" t="s">
        <v>3</v>
      </c>
      <c r="C14" s="34"/>
      <c r="D14" s="35"/>
      <c r="E14" s="36"/>
      <c r="F14" s="83"/>
      <c r="G14" s="84"/>
      <c r="H14" s="25"/>
      <c r="I14" s="25" t="str">
        <f t="shared" si="6"/>
        <v/>
      </c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</row>
    <row r="15" spans="1:65" s="3" customFormat="1" ht="21.5" thickBot="1" x14ac:dyDescent="0.4">
      <c r="A15" s="19"/>
      <c r="B15" s="37" t="s">
        <v>4</v>
      </c>
      <c r="C15" s="37"/>
      <c r="D15" s="38"/>
      <c r="E15" s="39"/>
      <c r="F15" s="85"/>
      <c r="G15" s="86"/>
      <c r="H15" s="25"/>
      <c r="I15" s="25" t="str">
        <f t="shared" si="6"/>
        <v/>
      </c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</row>
    <row r="16" spans="1:65" s="3" customFormat="1" ht="21.5" thickBot="1" x14ac:dyDescent="0.4">
      <c r="A16" s="19"/>
      <c r="B16" s="37" t="s">
        <v>5</v>
      </c>
      <c r="C16" s="37"/>
      <c r="D16" s="38"/>
      <c r="E16" s="39"/>
      <c r="F16" s="85"/>
      <c r="G16" s="86"/>
      <c r="H16" s="25"/>
      <c r="I16" s="25" t="str">
        <f t="shared" si="6"/>
        <v/>
      </c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5"/>
      <c r="W16" s="65"/>
      <c r="X16" s="64"/>
      <c r="Y16" s="64"/>
      <c r="Z16" s="64"/>
      <c r="AA16" s="64"/>
      <c r="AB16" s="64"/>
      <c r="AC16" s="64"/>
      <c r="AD16" s="64"/>
      <c r="AE16" s="64"/>
      <c r="AF16" s="64"/>
      <c r="AG16" s="64"/>
      <c r="AH16" s="64"/>
      <c r="AI16" s="64"/>
      <c r="AJ16" s="64"/>
      <c r="AK16" s="64"/>
      <c r="AL16" s="64"/>
      <c r="AM16" s="64"/>
      <c r="AN16" s="64"/>
      <c r="AO16" s="64"/>
      <c r="AP16" s="64"/>
      <c r="AQ16" s="64"/>
      <c r="AR16" s="64"/>
      <c r="AS16" s="64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</row>
    <row r="17" spans="1:65" s="3" customFormat="1" ht="21.5" thickBot="1" x14ac:dyDescent="0.4">
      <c r="A17" s="19"/>
      <c r="B17" s="37" t="s">
        <v>0</v>
      </c>
      <c r="C17" s="37"/>
      <c r="D17" s="38"/>
      <c r="E17" s="39"/>
      <c r="F17" s="90"/>
      <c r="G17" s="86"/>
      <c r="H17" s="25"/>
      <c r="I17" s="25" t="str">
        <f t="shared" si="6"/>
        <v/>
      </c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</row>
    <row r="18" spans="1:65" s="3" customFormat="1" ht="21.5" thickBot="1" x14ac:dyDescent="0.4">
      <c r="A18" s="19"/>
      <c r="B18" s="37" t="s">
        <v>1</v>
      </c>
      <c r="C18" s="37"/>
      <c r="D18" s="38"/>
      <c r="E18" s="39"/>
      <c r="F18" s="85"/>
      <c r="G18" s="86"/>
      <c r="H18" s="25"/>
      <c r="I18" s="25" t="str">
        <f t="shared" si="6"/>
        <v/>
      </c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5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4"/>
      <c r="AR18" s="64"/>
      <c r="AS18" s="64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</row>
    <row r="19" spans="1:65" s="3" customFormat="1" ht="21.5" thickBot="1" x14ac:dyDescent="0.4">
      <c r="A19" s="19"/>
      <c r="B19" s="37" t="s">
        <v>2</v>
      </c>
      <c r="C19" s="37"/>
      <c r="D19" s="38"/>
      <c r="E19" s="39"/>
      <c r="F19" s="85"/>
      <c r="G19" s="86"/>
      <c r="H19" s="25"/>
      <c r="I19" s="25" t="str">
        <f t="shared" si="6"/>
        <v/>
      </c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  <c r="AL19" s="64"/>
      <c r="AM19" s="64"/>
      <c r="AN19" s="64"/>
      <c r="AO19" s="64"/>
      <c r="AP19" s="64"/>
      <c r="AQ19" s="64"/>
      <c r="AR19" s="64"/>
      <c r="AS19" s="64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</row>
    <row r="20" spans="1:65" s="3" customFormat="1" ht="21.5" thickBot="1" x14ac:dyDescent="0.4">
      <c r="A20" s="19"/>
      <c r="B20" s="40" t="s">
        <v>13</v>
      </c>
      <c r="C20" s="40"/>
      <c r="D20" s="41"/>
      <c r="E20" s="42"/>
      <c r="F20" s="87"/>
      <c r="G20" s="88"/>
      <c r="H20" s="25"/>
      <c r="I20" s="25" t="str">
        <f t="shared" si="6"/>
        <v/>
      </c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  <c r="AH20" s="64"/>
      <c r="AI20" s="64"/>
      <c r="AJ20" s="64"/>
      <c r="AK20" s="64"/>
      <c r="AL20" s="64"/>
      <c r="AM20" s="64"/>
      <c r="AN20" s="64"/>
      <c r="AO20" s="64"/>
      <c r="AP20" s="64"/>
      <c r="AQ20" s="64"/>
      <c r="AR20" s="64"/>
      <c r="AS20" s="64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</row>
    <row r="21" spans="1:65" s="3" customFormat="1" ht="21.5" thickBot="1" x14ac:dyDescent="0.4">
      <c r="A21" s="19"/>
      <c r="B21" s="43" t="s">
        <v>4</v>
      </c>
      <c r="C21" s="43"/>
      <c r="D21" s="44"/>
      <c r="E21" s="45"/>
      <c r="F21" s="71"/>
      <c r="G21" s="72"/>
      <c r="H21" s="25"/>
      <c r="I21" s="25" t="str">
        <f t="shared" si="6"/>
        <v/>
      </c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  <c r="AN21" s="64"/>
      <c r="AO21" s="64"/>
      <c r="AP21" s="64"/>
      <c r="AQ21" s="64"/>
      <c r="AR21" s="64"/>
      <c r="AS21" s="64"/>
      <c r="AT21" s="64"/>
      <c r="AU21" s="64"/>
      <c r="AV21" s="64"/>
      <c r="AW21" s="64"/>
      <c r="AX21" s="64"/>
      <c r="AY21" s="64"/>
      <c r="AZ21" s="64"/>
      <c r="BA21" s="64"/>
      <c r="BB21" s="64"/>
      <c r="BC21" s="64"/>
      <c r="BD21" s="64"/>
      <c r="BE21" s="64"/>
      <c r="BF21" s="64"/>
      <c r="BG21" s="64"/>
      <c r="BH21" s="64"/>
      <c r="BI21" s="64"/>
      <c r="BJ21" s="64"/>
      <c r="BK21" s="64"/>
      <c r="BL21" s="64"/>
      <c r="BM21" s="64"/>
    </row>
    <row r="22" spans="1:65" s="3" customFormat="1" ht="21.5" thickBot="1" x14ac:dyDescent="0.4">
      <c r="A22" s="19"/>
      <c r="B22" s="43" t="s">
        <v>5</v>
      </c>
      <c r="C22" s="43"/>
      <c r="D22" s="44"/>
      <c r="E22" s="45"/>
      <c r="F22" s="71"/>
      <c r="G22" s="72"/>
      <c r="H22" s="25"/>
      <c r="I22" s="25" t="str">
        <f t="shared" si="6"/>
        <v/>
      </c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  <c r="AP22" s="64"/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4"/>
      <c r="BB22" s="64"/>
      <c r="BC22" s="64"/>
      <c r="BD22" s="64"/>
      <c r="BE22" s="64"/>
      <c r="BF22" s="64"/>
      <c r="BG22" s="64"/>
      <c r="BH22" s="64"/>
      <c r="BI22" s="64"/>
      <c r="BJ22" s="64"/>
      <c r="BK22" s="64"/>
      <c r="BL22" s="64"/>
      <c r="BM22" s="64"/>
    </row>
    <row r="23" spans="1:65" s="3" customFormat="1" ht="21.5" thickBot="1" x14ac:dyDescent="0.4">
      <c r="A23" s="19"/>
      <c r="B23" s="43" t="s">
        <v>0</v>
      </c>
      <c r="C23" s="43"/>
      <c r="D23" s="44"/>
      <c r="E23" s="45"/>
      <c r="F23" s="71"/>
      <c r="G23" s="72"/>
      <c r="H23" s="25"/>
      <c r="I23" s="25" t="str">
        <f t="shared" si="6"/>
        <v/>
      </c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4"/>
      <c r="AL23" s="64"/>
      <c r="AM23" s="64"/>
      <c r="AN23" s="64"/>
      <c r="AO23" s="64"/>
      <c r="AP23" s="64"/>
      <c r="AQ23" s="64"/>
      <c r="AR23" s="64"/>
      <c r="AS23" s="64"/>
      <c r="AT23" s="64"/>
      <c r="AU23" s="64"/>
      <c r="AV23" s="64"/>
      <c r="AW23" s="64"/>
      <c r="AX23" s="64"/>
      <c r="AY23" s="64"/>
      <c r="AZ23" s="64"/>
      <c r="BA23" s="64"/>
      <c r="BB23" s="64"/>
      <c r="BC23" s="64"/>
      <c r="BD23" s="64"/>
      <c r="BE23" s="64"/>
      <c r="BF23" s="64"/>
      <c r="BG23" s="64"/>
      <c r="BH23" s="64"/>
      <c r="BI23" s="64"/>
      <c r="BJ23" s="64"/>
      <c r="BK23" s="64"/>
      <c r="BL23" s="64"/>
      <c r="BM23" s="64"/>
    </row>
    <row r="24" spans="1:65" s="3" customFormat="1" ht="21.5" thickBot="1" x14ac:dyDescent="0.4">
      <c r="A24" s="19"/>
      <c r="B24" s="43" t="s">
        <v>1</v>
      </c>
      <c r="C24" s="43"/>
      <c r="D24" s="44"/>
      <c r="E24" s="45"/>
      <c r="F24" s="71"/>
      <c r="G24" s="72"/>
      <c r="H24" s="25"/>
      <c r="I24" s="25" t="str">
        <f t="shared" si="6"/>
        <v/>
      </c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  <c r="AF24" s="64"/>
      <c r="AG24" s="64"/>
      <c r="AH24" s="64"/>
      <c r="AI24" s="64"/>
      <c r="AJ24" s="64"/>
      <c r="AK24" s="64"/>
      <c r="AL24" s="64"/>
      <c r="AM24" s="64"/>
      <c r="AN24" s="64"/>
      <c r="AO24" s="64"/>
      <c r="AP24" s="64"/>
      <c r="AQ24" s="64"/>
      <c r="AR24" s="64"/>
      <c r="AS24" s="64"/>
      <c r="AT24" s="64"/>
      <c r="AU24" s="64"/>
      <c r="AV24" s="64"/>
      <c r="AW24" s="64"/>
      <c r="AX24" s="64"/>
      <c r="AY24" s="64"/>
      <c r="AZ24" s="64"/>
      <c r="BA24" s="64"/>
      <c r="BB24" s="64"/>
      <c r="BC24" s="64"/>
      <c r="BD24" s="64"/>
      <c r="BE24" s="64"/>
      <c r="BF24" s="64"/>
      <c r="BG24" s="64"/>
      <c r="BH24" s="64"/>
      <c r="BI24" s="64"/>
      <c r="BJ24" s="64"/>
      <c r="BK24" s="64"/>
      <c r="BL24" s="64"/>
      <c r="BM24" s="64"/>
    </row>
    <row r="25" spans="1:65" s="3" customFormat="1" ht="21.5" thickBot="1" x14ac:dyDescent="0.4">
      <c r="A25" s="19"/>
      <c r="B25" s="43" t="s">
        <v>2</v>
      </c>
      <c r="C25" s="43"/>
      <c r="D25" s="44"/>
      <c r="E25" s="45"/>
      <c r="F25" s="71"/>
      <c r="G25" s="72"/>
      <c r="H25" s="25"/>
      <c r="I25" s="25" t="str">
        <f t="shared" si="6"/>
        <v/>
      </c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4"/>
      <c r="AG25" s="64"/>
      <c r="AH25" s="64"/>
      <c r="AI25" s="64"/>
      <c r="AJ25" s="64"/>
      <c r="AK25" s="64"/>
      <c r="AL25" s="64"/>
      <c r="AM25" s="64"/>
      <c r="AN25" s="64"/>
      <c r="AO25" s="64"/>
      <c r="AP25" s="64"/>
      <c r="AQ25" s="64"/>
      <c r="AR25" s="64"/>
      <c r="AS25" s="64"/>
      <c r="AT25" s="64"/>
      <c r="AU25" s="64"/>
      <c r="AV25" s="64"/>
      <c r="AW25" s="64"/>
      <c r="AX25" s="64"/>
      <c r="AY25" s="64"/>
      <c r="AZ25" s="64"/>
      <c r="BA25" s="64"/>
      <c r="BB25" s="64"/>
      <c r="BC25" s="64"/>
      <c r="BD25" s="64"/>
      <c r="BE25" s="64"/>
      <c r="BF25" s="64"/>
      <c r="BG25" s="64"/>
      <c r="BH25" s="64"/>
      <c r="BI25" s="64"/>
      <c r="BJ25" s="64"/>
      <c r="BK25" s="64"/>
      <c r="BL25" s="64"/>
      <c r="BM25" s="64"/>
    </row>
    <row r="26" spans="1:65" s="3" customFormat="1" ht="21.5" thickBot="1" x14ac:dyDescent="0.4">
      <c r="A26" s="19"/>
      <c r="B26" s="46" t="s">
        <v>14</v>
      </c>
      <c r="C26" s="46"/>
      <c r="D26" s="47"/>
      <c r="E26" s="48"/>
      <c r="F26" s="73"/>
      <c r="G26" s="74"/>
      <c r="H26" s="25"/>
      <c r="I26" s="25" t="str">
        <f t="shared" si="6"/>
        <v/>
      </c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  <c r="AF26" s="64"/>
      <c r="AG26" s="64"/>
      <c r="AH26" s="64"/>
      <c r="AI26" s="64"/>
      <c r="AJ26" s="64"/>
      <c r="AK26" s="64"/>
      <c r="AL26" s="64"/>
      <c r="AM26" s="64"/>
      <c r="AN26" s="64"/>
      <c r="AO26" s="64"/>
      <c r="AP26" s="64"/>
      <c r="AQ26" s="64"/>
      <c r="AR26" s="64"/>
      <c r="AS26" s="64"/>
      <c r="AT26" s="64"/>
      <c r="AU26" s="64"/>
      <c r="AV26" s="64"/>
      <c r="AW26" s="64"/>
      <c r="AX26" s="64"/>
      <c r="AY26" s="64"/>
      <c r="AZ26" s="64"/>
      <c r="BA26" s="64"/>
      <c r="BB26" s="64"/>
      <c r="BC26" s="64"/>
      <c r="BD26" s="64"/>
      <c r="BE26" s="64"/>
      <c r="BF26" s="64"/>
      <c r="BG26" s="64"/>
      <c r="BH26" s="64"/>
      <c r="BI26" s="64"/>
      <c r="BJ26" s="64"/>
      <c r="BK26" s="64"/>
      <c r="BL26" s="64"/>
      <c r="BM26" s="64"/>
    </row>
    <row r="27" spans="1:65" s="3" customFormat="1" ht="21.5" thickBot="1" x14ac:dyDescent="0.4">
      <c r="A27" s="19"/>
      <c r="B27" s="49" t="s">
        <v>4</v>
      </c>
      <c r="C27" s="49"/>
      <c r="D27" s="50"/>
      <c r="E27" s="51"/>
      <c r="F27" s="75"/>
      <c r="G27" s="76"/>
      <c r="H27" s="25"/>
      <c r="I27" s="25" t="str">
        <f t="shared" si="6"/>
        <v/>
      </c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  <c r="AA27" s="64"/>
      <c r="AB27" s="64"/>
      <c r="AC27" s="64"/>
      <c r="AD27" s="64"/>
      <c r="AE27" s="64"/>
      <c r="AF27" s="64"/>
      <c r="AG27" s="64"/>
      <c r="AH27" s="64"/>
      <c r="AI27" s="64"/>
      <c r="AJ27" s="64"/>
      <c r="AK27" s="64"/>
      <c r="AL27" s="64"/>
      <c r="AM27" s="64"/>
      <c r="AN27" s="64"/>
      <c r="AO27" s="64"/>
      <c r="AP27" s="64"/>
      <c r="AQ27" s="64"/>
      <c r="AR27" s="64"/>
      <c r="AS27" s="64"/>
      <c r="AT27" s="64"/>
      <c r="AU27" s="64"/>
      <c r="AV27" s="64"/>
      <c r="AW27" s="64"/>
      <c r="AX27" s="64"/>
      <c r="AY27" s="64"/>
      <c r="AZ27" s="64"/>
      <c r="BA27" s="64"/>
      <c r="BB27" s="64"/>
      <c r="BC27" s="64"/>
      <c r="BD27" s="64"/>
      <c r="BE27" s="64"/>
      <c r="BF27" s="64"/>
      <c r="BG27" s="64"/>
      <c r="BH27" s="64"/>
      <c r="BI27" s="64"/>
      <c r="BJ27" s="64"/>
      <c r="BK27" s="64"/>
      <c r="BL27" s="64"/>
      <c r="BM27" s="64"/>
    </row>
    <row r="28" spans="1:65" s="3" customFormat="1" ht="21.5" thickBot="1" x14ac:dyDescent="0.4">
      <c r="A28" s="19"/>
      <c r="B28" s="49" t="s">
        <v>5</v>
      </c>
      <c r="C28" s="49"/>
      <c r="D28" s="50"/>
      <c r="E28" s="51"/>
      <c r="F28" s="75"/>
      <c r="G28" s="76"/>
      <c r="H28" s="25"/>
      <c r="I28" s="25" t="str">
        <f t="shared" si="6"/>
        <v/>
      </c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  <c r="AP28" s="64"/>
      <c r="AQ28" s="64"/>
      <c r="AR28" s="64"/>
      <c r="AS28" s="64"/>
      <c r="AT28" s="64"/>
      <c r="AU28" s="64"/>
      <c r="AV28" s="64"/>
      <c r="AW28" s="64"/>
      <c r="AX28" s="64"/>
      <c r="AY28" s="64"/>
      <c r="AZ28" s="64"/>
      <c r="BA28" s="64"/>
      <c r="BB28" s="64"/>
      <c r="BC28" s="64"/>
      <c r="BD28" s="64"/>
      <c r="BE28" s="64"/>
      <c r="BF28" s="64"/>
      <c r="BG28" s="64"/>
      <c r="BH28" s="64"/>
      <c r="BI28" s="64"/>
      <c r="BJ28" s="64"/>
      <c r="BK28" s="64"/>
      <c r="BL28" s="64"/>
      <c r="BM28" s="64"/>
    </row>
    <row r="29" spans="1:65" s="3" customFormat="1" ht="21.5" thickBot="1" x14ac:dyDescent="0.4">
      <c r="A29" s="19"/>
      <c r="B29" s="49" t="s">
        <v>0</v>
      </c>
      <c r="C29" s="49"/>
      <c r="D29" s="50"/>
      <c r="E29" s="51"/>
      <c r="F29" s="75"/>
      <c r="G29" s="76"/>
      <c r="H29" s="25"/>
      <c r="I29" s="25" t="str">
        <f t="shared" si="6"/>
        <v/>
      </c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G29" s="64"/>
      <c r="AH29" s="64"/>
      <c r="AI29" s="64"/>
      <c r="AJ29" s="64"/>
      <c r="AK29" s="64"/>
      <c r="AL29" s="64"/>
      <c r="AM29" s="64"/>
      <c r="AN29" s="64"/>
      <c r="AO29" s="64"/>
      <c r="AP29" s="64"/>
      <c r="AQ29" s="64"/>
      <c r="AR29" s="64"/>
      <c r="AS29" s="64"/>
      <c r="AT29" s="64"/>
      <c r="AU29" s="64"/>
      <c r="AV29" s="64"/>
      <c r="AW29" s="64"/>
      <c r="AX29" s="64"/>
      <c r="AY29" s="64"/>
      <c r="AZ29" s="64"/>
      <c r="BA29" s="64"/>
      <c r="BB29" s="64"/>
      <c r="BC29" s="64"/>
      <c r="BD29" s="64"/>
      <c r="BE29" s="64"/>
      <c r="BF29" s="64"/>
      <c r="BG29" s="64"/>
      <c r="BH29" s="64"/>
      <c r="BI29" s="64"/>
      <c r="BJ29" s="64"/>
      <c r="BK29" s="64"/>
      <c r="BL29" s="64"/>
      <c r="BM29" s="64"/>
    </row>
    <row r="30" spans="1:65" s="3" customFormat="1" ht="21.5" thickBot="1" x14ac:dyDescent="0.4">
      <c r="A30" s="19"/>
      <c r="B30" s="49" t="s">
        <v>1</v>
      </c>
      <c r="C30" s="49"/>
      <c r="D30" s="50"/>
      <c r="E30" s="51"/>
      <c r="F30" s="75"/>
      <c r="G30" s="76"/>
      <c r="H30" s="25"/>
      <c r="I30" s="25" t="str">
        <f t="shared" si="6"/>
        <v/>
      </c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4"/>
      <c r="AG30" s="64"/>
      <c r="AH30" s="64"/>
      <c r="AI30" s="64"/>
      <c r="AJ30" s="64"/>
      <c r="AK30" s="64"/>
      <c r="AL30" s="64"/>
      <c r="AM30" s="64"/>
      <c r="AN30" s="64"/>
      <c r="AO30" s="64"/>
      <c r="AP30" s="64"/>
      <c r="AQ30" s="64"/>
      <c r="AR30" s="64"/>
      <c r="AS30" s="64"/>
      <c r="AT30" s="64"/>
      <c r="AU30" s="64"/>
      <c r="AV30" s="64"/>
      <c r="AW30" s="64"/>
      <c r="AX30" s="64"/>
      <c r="AY30" s="64"/>
      <c r="AZ30" s="64"/>
      <c r="BA30" s="64"/>
      <c r="BB30" s="64"/>
      <c r="BC30" s="64"/>
      <c r="BD30" s="64"/>
      <c r="BE30" s="64"/>
      <c r="BF30" s="64"/>
      <c r="BG30" s="64"/>
      <c r="BH30" s="64"/>
      <c r="BI30" s="64"/>
      <c r="BJ30" s="64"/>
      <c r="BK30" s="64"/>
      <c r="BL30" s="64"/>
      <c r="BM30" s="64"/>
    </row>
    <row r="31" spans="1:65" s="3" customFormat="1" ht="21.5" thickBot="1" x14ac:dyDescent="0.4">
      <c r="A31" s="19"/>
      <c r="B31" s="49" t="s">
        <v>2</v>
      </c>
      <c r="C31" s="49"/>
      <c r="D31" s="50"/>
      <c r="E31" s="51"/>
      <c r="F31" s="75"/>
      <c r="G31" s="76"/>
      <c r="H31" s="25"/>
      <c r="I31" s="25" t="str">
        <f t="shared" si="6"/>
        <v/>
      </c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4"/>
      <c r="AG31" s="64"/>
      <c r="AH31" s="64"/>
      <c r="AI31" s="64"/>
      <c r="AJ31" s="64"/>
      <c r="AK31" s="64"/>
      <c r="AL31" s="64"/>
      <c r="AM31" s="64"/>
      <c r="AN31" s="64"/>
      <c r="AO31" s="64"/>
      <c r="AP31" s="64"/>
      <c r="AQ31" s="64"/>
      <c r="AR31" s="64"/>
      <c r="AS31" s="64"/>
      <c r="AT31" s="64"/>
      <c r="AU31" s="64"/>
      <c r="AV31" s="64"/>
      <c r="AW31" s="64"/>
      <c r="AX31" s="64"/>
      <c r="AY31" s="64"/>
      <c r="AZ31" s="64"/>
      <c r="BA31" s="64"/>
      <c r="BB31" s="64"/>
      <c r="BC31" s="64"/>
      <c r="BD31" s="64"/>
      <c r="BE31" s="64"/>
      <c r="BF31" s="64"/>
      <c r="BG31" s="64"/>
      <c r="BH31" s="64"/>
      <c r="BI31" s="64"/>
      <c r="BJ31" s="64"/>
      <c r="BK31" s="64"/>
      <c r="BL31" s="64"/>
      <c r="BM31" s="64"/>
    </row>
    <row r="32" spans="1:65" s="3" customFormat="1" ht="21.5" thickBot="1" x14ac:dyDescent="0.4">
      <c r="A32" s="19"/>
      <c r="B32" s="52" t="s">
        <v>15</v>
      </c>
      <c r="C32" s="52"/>
      <c r="D32" s="53"/>
      <c r="E32" s="54"/>
      <c r="F32" s="77"/>
      <c r="G32" s="78"/>
      <c r="H32" s="25"/>
      <c r="I32" s="25" t="str">
        <f t="shared" si="6"/>
        <v/>
      </c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  <c r="AF32" s="64"/>
      <c r="AG32" s="64"/>
      <c r="AH32" s="64"/>
      <c r="AI32" s="64"/>
      <c r="AJ32" s="64"/>
      <c r="AK32" s="64"/>
      <c r="AL32" s="64"/>
      <c r="AM32" s="64"/>
      <c r="AN32" s="64"/>
      <c r="AO32" s="64"/>
      <c r="AP32" s="64"/>
      <c r="AQ32" s="64"/>
      <c r="AR32" s="64"/>
      <c r="AS32" s="64"/>
      <c r="AT32" s="64"/>
      <c r="AU32" s="64"/>
      <c r="AV32" s="64"/>
      <c r="AW32" s="64"/>
      <c r="AX32" s="64"/>
      <c r="AY32" s="64"/>
      <c r="AZ32" s="64"/>
      <c r="BA32" s="64"/>
      <c r="BB32" s="64"/>
      <c r="BC32" s="64"/>
      <c r="BD32" s="64"/>
      <c r="BE32" s="64"/>
      <c r="BF32" s="64"/>
      <c r="BG32" s="64"/>
      <c r="BH32" s="64"/>
      <c r="BI32" s="64"/>
      <c r="BJ32" s="64"/>
      <c r="BK32" s="64"/>
      <c r="BL32" s="64"/>
      <c r="BM32" s="64"/>
    </row>
    <row r="33" spans="1:65" s="3" customFormat="1" ht="21.5" thickBot="1" x14ac:dyDescent="0.4">
      <c r="A33" s="19"/>
      <c r="B33" s="55" t="s">
        <v>4</v>
      </c>
      <c r="C33" s="55"/>
      <c r="D33" s="56"/>
      <c r="E33" s="57"/>
      <c r="F33" s="79"/>
      <c r="G33" s="80"/>
      <c r="H33" s="25"/>
      <c r="I33" s="25" t="str">
        <f t="shared" si="6"/>
        <v/>
      </c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4"/>
      <c r="AR33" s="64"/>
      <c r="AS33" s="64"/>
      <c r="AT33" s="64"/>
      <c r="AU33" s="64"/>
      <c r="AV33" s="64"/>
      <c r="AW33" s="64"/>
      <c r="AX33" s="64"/>
      <c r="AY33" s="64"/>
      <c r="AZ33" s="64"/>
      <c r="BA33" s="64"/>
      <c r="BB33" s="64"/>
      <c r="BC33" s="64"/>
      <c r="BD33" s="64"/>
      <c r="BE33" s="64"/>
      <c r="BF33" s="64"/>
      <c r="BG33" s="64"/>
      <c r="BH33" s="64"/>
      <c r="BI33" s="64"/>
      <c r="BJ33" s="64"/>
      <c r="BK33" s="64"/>
      <c r="BL33" s="64"/>
      <c r="BM33" s="64"/>
    </row>
    <row r="34" spans="1:65" s="3" customFormat="1" ht="21.5" thickBot="1" x14ac:dyDescent="0.4">
      <c r="A34" s="19"/>
      <c r="B34" s="55" t="s">
        <v>5</v>
      </c>
      <c r="C34" s="55"/>
      <c r="D34" s="56"/>
      <c r="E34" s="57"/>
      <c r="F34" s="79"/>
      <c r="G34" s="80"/>
      <c r="H34" s="25"/>
      <c r="I34" s="25" t="str">
        <f t="shared" si="6"/>
        <v/>
      </c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4"/>
      <c r="AG34" s="64"/>
      <c r="AH34" s="64"/>
      <c r="AI34" s="64"/>
      <c r="AJ34" s="64"/>
      <c r="AK34" s="64"/>
      <c r="AL34" s="64"/>
      <c r="AM34" s="64"/>
      <c r="AN34" s="64"/>
      <c r="AO34" s="64"/>
      <c r="AP34" s="64"/>
      <c r="AQ34" s="64"/>
      <c r="AR34" s="64"/>
      <c r="AS34" s="64"/>
      <c r="AT34" s="64"/>
      <c r="AU34" s="64"/>
      <c r="AV34" s="64"/>
      <c r="AW34" s="64"/>
      <c r="AX34" s="64"/>
      <c r="AY34" s="64"/>
      <c r="AZ34" s="64"/>
      <c r="BA34" s="64"/>
      <c r="BB34" s="64"/>
      <c r="BC34" s="64"/>
      <c r="BD34" s="64"/>
      <c r="BE34" s="64"/>
      <c r="BF34" s="64"/>
      <c r="BG34" s="64"/>
      <c r="BH34" s="64"/>
      <c r="BI34" s="64"/>
      <c r="BJ34" s="64"/>
      <c r="BK34" s="64"/>
      <c r="BL34" s="64"/>
      <c r="BM34" s="64"/>
    </row>
    <row r="35" spans="1:65" s="3" customFormat="1" ht="21.5" thickBot="1" x14ac:dyDescent="0.4">
      <c r="A35" s="19"/>
      <c r="B35" s="55" t="s">
        <v>0</v>
      </c>
      <c r="C35" s="55"/>
      <c r="D35" s="56"/>
      <c r="E35" s="57"/>
      <c r="F35" s="79"/>
      <c r="G35" s="80"/>
      <c r="H35" s="25"/>
      <c r="I35" s="25" t="str">
        <f t="shared" si="6"/>
        <v/>
      </c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  <c r="AF35" s="64"/>
      <c r="AG35" s="64"/>
      <c r="AH35" s="64"/>
      <c r="AI35" s="64"/>
      <c r="AJ35" s="64"/>
      <c r="AK35" s="64"/>
      <c r="AL35" s="64"/>
      <c r="AM35" s="64"/>
      <c r="AN35" s="64"/>
      <c r="AO35" s="64"/>
      <c r="AP35" s="64"/>
      <c r="AQ35" s="64"/>
      <c r="AR35" s="64"/>
      <c r="AS35" s="64"/>
      <c r="AT35" s="64"/>
      <c r="AU35" s="64"/>
      <c r="AV35" s="64"/>
      <c r="AW35" s="64"/>
      <c r="AX35" s="64"/>
      <c r="AY35" s="64"/>
      <c r="AZ35" s="64"/>
      <c r="BA35" s="64"/>
      <c r="BB35" s="64"/>
      <c r="BC35" s="64"/>
      <c r="BD35" s="64"/>
      <c r="BE35" s="64"/>
      <c r="BF35" s="64"/>
      <c r="BG35" s="64"/>
      <c r="BH35" s="64"/>
      <c r="BI35" s="64"/>
      <c r="BJ35" s="64"/>
      <c r="BK35" s="64"/>
      <c r="BL35" s="64"/>
      <c r="BM35" s="64"/>
    </row>
    <row r="36" spans="1:65" s="3" customFormat="1" ht="21.5" thickBot="1" x14ac:dyDescent="0.4">
      <c r="A36" s="19"/>
      <c r="B36" s="55" t="s">
        <v>1</v>
      </c>
      <c r="C36" s="55"/>
      <c r="D36" s="56"/>
      <c r="E36" s="57"/>
      <c r="F36" s="79"/>
      <c r="G36" s="80"/>
      <c r="H36" s="25"/>
      <c r="I36" s="25" t="str">
        <f t="shared" si="6"/>
        <v/>
      </c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4"/>
      <c r="BB36" s="64"/>
      <c r="BC36" s="64"/>
      <c r="BD36" s="64"/>
      <c r="BE36" s="64"/>
      <c r="BF36" s="64"/>
      <c r="BG36" s="64"/>
      <c r="BH36" s="64"/>
      <c r="BI36" s="64"/>
      <c r="BJ36" s="64"/>
      <c r="BK36" s="64"/>
      <c r="BL36" s="64"/>
      <c r="BM36" s="64"/>
    </row>
    <row r="37" spans="1:65" s="3" customFormat="1" ht="21.5" thickBot="1" x14ac:dyDescent="0.4">
      <c r="A37" s="19"/>
      <c r="B37" s="55" t="s">
        <v>2</v>
      </c>
      <c r="C37" s="55"/>
      <c r="D37" s="56"/>
      <c r="E37" s="57"/>
      <c r="F37" s="79"/>
      <c r="G37" s="80"/>
      <c r="H37" s="25"/>
      <c r="I37" s="25" t="str">
        <f t="shared" si="6"/>
        <v/>
      </c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4"/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4"/>
      <c r="BB37" s="64"/>
      <c r="BC37" s="64"/>
      <c r="BD37" s="64"/>
      <c r="BE37" s="64"/>
      <c r="BF37" s="64"/>
      <c r="BG37" s="64"/>
      <c r="BH37" s="64"/>
      <c r="BI37" s="64"/>
      <c r="BJ37" s="64"/>
      <c r="BK37" s="64"/>
      <c r="BL37" s="64"/>
      <c r="BM37" s="64"/>
    </row>
    <row r="38" spans="1:65" s="3" customFormat="1" ht="21.5" thickBot="1" x14ac:dyDescent="0.4">
      <c r="A38" s="19"/>
      <c r="B38" s="20"/>
      <c r="C38" s="20"/>
      <c r="D38" s="21"/>
      <c r="E38" s="22"/>
      <c r="F38" s="23"/>
      <c r="G38" s="24"/>
      <c r="H38" s="25"/>
      <c r="I38" s="25" t="str">
        <f t="shared" si="6"/>
        <v/>
      </c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4"/>
      <c r="BB38" s="64"/>
      <c r="BC38" s="64"/>
      <c r="BD38" s="64"/>
      <c r="BE38" s="64"/>
      <c r="BF38" s="64"/>
      <c r="BG38" s="64"/>
      <c r="BH38" s="64"/>
      <c r="BI38" s="64"/>
      <c r="BJ38" s="64"/>
      <c r="BK38" s="64"/>
      <c r="BL38" s="64"/>
      <c r="BM38" s="64"/>
    </row>
    <row r="39" spans="1:65" s="3" customFormat="1" ht="21.5" thickBot="1" x14ac:dyDescent="0.4">
      <c r="A39" s="19"/>
      <c r="B39" s="20"/>
      <c r="C39" s="20"/>
      <c r="D39" s="21"/>
      <c r="E39" s="22"/>
      <c r="F39" s="23"/>
      <c r="G39" s="24"/>
      <c r="H39" s="25"/>
      <c r="I39" s="25" t="str">
        <f t="shared" si="6"/>
        <v/>
      </c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  <c r="AF39" s="64"/>
      <c r="AG39" s="64"/>
      <c r="AH39" s="64"/>
      <c r="AI39" s="64"/>
      <c r="AJ39" s="64"/>
      <c r="AK39" s="64"/>
      <c r="AL39" s="64"/>
      <c r="AM39" s="64"/>
      <c r="AN39" s="64"/>
      <c r="AO39" s="64"/>
      <c r="AP39" s="64"/>
      <c r="AQ39" s="64"/>
      <c r="AR39" s="64"/>
      <c r="AS39" s="64"/>
      <c r="AT39" s="64"/>
      <c r="AU39" s="64"/>
      <c r="AV39" s="64"/>
      <c r="AW39" s="64"/>
      <c r="AX39" s="64"/>
      <c r="AY39" s="64"/>
      <c r="AZ39" s="64"/>
      <c r="BA39" s="64"/>
      <c r="BB39" s="64"/>
      <c r="BC39" s="64"/>
      <c r="BD39" s="64"/>
      <c r="BE39" s="64"/>
      <c r="BF39" s="64"/>
      <c r="BG39" s="64"/>
      <c r="BH39" s="64"/>
      <c r="BI39" s="64"/>
      <c r="BJ39" s="64"/>
      <c r="BK39" s="64"/>
      <c r="BL39" s="64"/>
      <c r="BM39" s="64"/>
    </row>
    <row r="40" spans="1:65" s="3" customFormat="1" ht="21.5" thickBot="1" x14ac:dyDescent="0.4">
      <c r="A40" s="19"/>
      <c r="B40" s="20"/>
      <c r="C40" s="20"/>
      <c r="D40" s="21"/>
      <c r="E40" s="22"/>
      <c r="F40" s="23"/>
      <c r="G40" s="24"/>
      <c r="H40" s="25"/>
      <c r="I40" s="25" t="str">
        <f t="shared" si="6"/>
        <v/>
      </c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64"/>
      <c r="AJ40" s="64"/>
      <c r="AK40" s="64"/>
      <c r="AL40" s="64"/>
      <c r="AM40" s="64"/>
      <c r="AN40" s="64"/>
      <c r="AO40" s="64"/>
      <c r="AP40" s="64"/>
      <c r="AQ40" s="64"/>
      <c r="AR40" s="64"/>
      <c r="AS40" s="64"/>
      <c r="AT40" s="64"/>
      <c r="AU40" s="64"/>
      <c r="AV40" s="64"/>
      <c r="AW40" s="64"/>
      <c r="AX40" s="64"/>
      <c r="AY40" s="64"/>
      <c r="AZ40" s="64"/>
      <c r="BA40" s="64"/>
      <c r="BB40" s="64"/>
      <c r="BC40" s="64"/>
      <c r="BD40" s="64"/>
      <c r="BE40" s="64"/>
      <c r="BF40" s="64"/>
      <c r="BG40" s="64"/>
      <c r="BH40" s="64"/>
      <c r="BI40" s="64"/>
      <c r="BJ40" s="64"/>
      <c r="BK40" s="64"/>
      <c r="BL40" s="64"/>
      <c r="BM40" s="64"/>
    </row>
    <row r="41" spans="1:65" s="3" customFormat="1" ht="21.5" thickBot="1" x14ac:dyDescent="0.4">
      <c r="A41" s="19"/>
      <c r="B41" s="58"/>
      <c r="C41" s="58"/>
      <c r="D41" s="59"/>
      <c r="E41" s="60"/>
      <c r="F41" s="61"/>
      <c r="G41" s="62"/>
      <c r="H41" s="63"/>
      <c r="I41" s="63" t="str">
        <f t="shared" si="6"/>
        <v/>
      </c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66"/>
      <c r="BJ41" s="66"/>
      <c r="BK41" s="66"/>
      <c r="BL41" s="66"/>
      <c r="BM41" s="66"/>
    </row>
    <row r="42" spans="1:65" x14ac:dyDescent="0.35">
      <c r="A42" s="6"/>
      <c r="H42" s="6"/>
    </row>
    <row r="43" spans="1:65" x14ac:dyDescent="0.35">
      <c r="B43" s="17"/>
      <c r="C43" s="17"/>
      <c r="D43" s="17"/>
      <c r="G43" s="67">
        <v>43113</v>
      </c>
    </row>
    <row r="44" spans="1:65" x14ac:dyDescent="0.35">
      <c r="B44" s="70"/>
      <c r="C44" s="70"/>
      <c r="D44" s="18"/>
    </row>
    <row r="45" spans="1:65" x14ac:dyDescent="0.35">
      <c r="B45" s="69"/>
      <c r="C45" s="69"/>
    </row>
  </sheetData>
  <mergeCells count="11">
    <mergeCell ref="K1:AB1"/>
    <mergeCell ref="AL4:AR4"/>
    <mergeCell ref="AS4:AY4"/>
    <mergeCell ref="AZ4:BF4"/>
    <mergeCell ref="BG4:BM4"/>
    <mergeCell ref="F2:G2"/>
    <mergeCell ref="J4:P4"/>
    <mergeCell ref="Q4:W4"/>
    <mergeCell ref="X4:AD4"/>
    <mergeCell ref="AE4:AK4"/>
    <mergeCell ref="F3:G3"/>
  </mergeCells>
  <conditionalFormatting sqref="E7:E41">
    <cfRule type="dataBar" priority="12">
      <dataBar>
        <cfvo type="num" val="0"/>
        <cfvo type="num" val="1"/>
        <color theme="0" tint="-0.249977111117893"/>
      </dataBar>
      <extLst>
        <ext xmlns:x14="http://schemas.microsoft.com/office/spreadsheetml/2009/9/main" uri="{B025F937-C7B1-47D3-B67F-A62EFF666E3E}">
          <x14:id>{B0389232-4C98-4A03-AD0E-39F63BAD1F53}</x14:id>
        </ext>
      </extLst>
    </cfRule>
  </conditionalFormatting>
  <conditionalFormatting sqref="J5:BM41">
    <cfRule type="expression" dxfId="2" priority="27">
      <formula>AND(today&gt;=J$5,today&lt;J$5+1)</formula>
    </cfRule>
  </conditionalFormatting>
  <conditionalFormatting sqref="J7:BM41">
    <cfRule type="expression" dxfId="1" priority="25">
      <formula>AND(task_start&lt;=J$5,ROUNDDOWN((task_end-task_start+1)*task_progress,0)+task_start-1&gt;=J$5)</formula>
    </cfRule>
    <cfRule type="expression" dxfId="0" priority="26" stopIfTrue="1">
      <formula>AND(task_end&gt;=J$5,task_start&lt;J$5+1)</formula>
    </cfRule>
  </conditionalFormatting>
  <dataValidations count="1">
    <dataValidation type="whole" operator="greaterThanOrEqual" allowBlank="1" showInputMessage="1" promptTitle="Display Week" prompt="Changing this number will scroll the Gantt Chart view." sqref="F4" xr:uid="{00000000-0002-0000-0000-000000000000}">
      <formula1>1</formula1>
    </dataValidation>
  </dataValidations>
  <pageMargins left="0.35" right="0.35" top="0.35" bottom="0.5" header="0.3" footer="0.3"/>
  <pageSetup scale="62" fitToHeight="0" orientation="landscape" r:id="rId1"/>
  <headerFooter scaleWithDoc="0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389232-4C98-4A03-AD0E-39F63BAD1F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E7:E41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6</vt:i4>
      </vt:variant>
    </vt:vector>
  </HeadingPairs>
  <TitlesOfParts>
    <vt:vector size="7" baseType="lpstr">
      <vt:lpstr>ProjectSchedule</vt:lpstr>
      <vt:lpstr>ProjectSchedule!Area_stampa</vt:lpstr>
      <vt:lpstr>ProjectSchedule!task_end</vt:lpstr>
      <vt:lpstr>ProjectSchedule!task_progress</vt:lpstr>
      <vt:lpstr>ProjectSchedule!task_start</vt:lpstr>
      <vt:lpstr>ProjectSchedule!Titoli_stampa</vt:lpstr>
      <vt:lpstr>ProjectSchedule!today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Simple Gantt Chart</dc:title>
  <dc:creator>Vertex42.com</dc:creator>
  <dc:description>© 2018-2019 Vertex42 LLC. All Rights Reserved.</dc:description>
  <cp:lastModifiedBy>Cominelli Giorgio</cp:lastModifiedBy>
  <cp:lastPrinted>2019-04-24T14:39:40Z</cp:lastPrinted>
  <dcterms:created xsi:type="dcterms:W3CDTF">2017-01-09T18:01:51Z</dcterms:created>
  <dcterms:modified xsi:type="dcterms:W3CDTF">2025-11-17T09:50:36Z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ource">
    <vt:lpwstr>https://www.vertex42.com/</vt:lpwstr>
  </property>
  <property fmtid="{D5CDD505-2E9C-101B-9397-08002B2CF9AE}" pid="3" name="Copyright">
    <vt:lpwstr>© 2019 Vertex42 LLC</vt:lpwstr>
  </property>
  <property fmtid="{D5CDD505-2E9C-101B-9397-08002B2CF9AE}" pid="4" name="Version">
    <vt:lpwstr>1.0.1</vt:lpwstr>
  </property>
</Properties>
</file>