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mi\Desktop\psyPlatform\docs\fattibilità\"/>
    </mc:Choice>
  </mc:AlternateContent>
  <xr:revisionPtr revIDLastSave="0" documentId="13_ncr:1_{853E4104-3F99-4B5B-AF5E-E737FC75ED0C}" xr6:coauthVersionLast="47" xr6:coauthVersionMax="47" xr10:uidLastSave="{00000000-0000-0000-0000-000000000000}"/>
  <bookViews>
    <workbookView xWindow="-110" yWindow="-110" windowWidth="19420" windowHeight="10420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1" l="1"/>
  <c r="AT8" i="1" s="1"/>
  <c r="AU8" i="1" s="1"/>
  <c r="AS9" i="1"/>
  <c r="AS10" i="1"/>
  <c r="AT10" i="1" s="1"/>
  <c r="AU10" i="1" s="1"/>
  <c r="AS11" i="1"/>
  <c r="AS12" i="1"/>
  <c r="AS13" i="1"/>
  <c r="AT13" i="1" s="1"/>
  <c r="AU13" i="1" s="1"/>
  <c r="AS14" i="1"/>
  <c r="AT14" i="1" s="1"/>
  <c r="AU14" i="1" s="1"/>
  <c r="AS15" i="1"/>
  <c r="AT15" i="1" s="1"/>
  <c r="AU15" i="1" s="1"/>
  <c r="AS16" i="1"/>
  <c r="AT16" i="1" s="1"/>
  <c r="AU16" i="1" s="1"/>
  <c r="AS17" i="1"/>
  <c r="AT17" i="1" s="1"/>
  <c r="AU17" i="1" s="1"/>
  <c r="AS18" i="1"/>
  <c r="AT18" i="1" s="1"/>
  <c r="AU18" i="1" s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T25" i="1" s="1"/>
  <c r="AU25" i="1" s="1"/>
  <c r="AS26" i="1"/>
  <c r="AT26" i="1" s="1"/>
  <c r="AU26" i="1" s="1"/>
  <c r="AT11" i="1"/>
  <c r="AU11" i="1" s="1"/>
  <c r="AT12" i="1"/>
  <c r="AU12" i="1" s="1"/>
  <c r="I8" i="1"/>
  <c r="AD3" i="1"/>
  <c r="M3" i="1"/>
  <c r="AQ3" i="1"/>
  <c r="AM3" i="1"/>
  <c r="AI3" i="1"/>
  <c r="Z3" i="1"/>
  <c r="V3" i="1"/>
  <c r="Q3" i="1"/>
  <c r="I3" i="1"/>
  <c r="AS30" i="1" l="1"/>
  <c r="AT9" i="1"/>
  <c r="AU9" i="1" s="1"/>
  <c r="AU30" i="1" s="1"/>
  <c r="AT30" i="1" l="1"/>
</calcChain>
</file>

<file path=xl/sharedStrings.xml><?xml version="1.0" encoding="utf-8"?>
<sst xmlns="http://schemas.openxmlformats.org/spreadsheetml/2006/main" count="56" uniqueCount="46">
  <si>
    <t>TASK</t>
  </si>
  <si>
    <t xml:space="preserve">START </t>
  </si>
  <si>
    <t>END</t>
  </si>
  <si>
    <t>Week</t>
  </si>
  <si>
    <t>Month</t>
  </si>
  <si>
    <t xml:space="preserve">  Task 1.4</t>
  </si>
  <si>
    <t xml:space="preserve">  Task 3.2</t>
  </si>
  <si>
    <t xml:space="preserve">  Task 3.3</t>
  </si>
  <si>
    <t xml:space="preserve">  Task 3.4</t>
  </si>
  <si>
    <t>Days</t>
  </si>
  <si>
    <t>Intro</t>
  </si>
  <si>
    <t>Development</t>
  </si>
  <si>
    <t>Marketing</t>
  </si>
  <si>
    <t>Selling</t>
  </si>
  <si>
    <t xml:space="preserve">  Task 4.1</t>
  </si>
  <si>
    <t xml:space="preserve">  Task 4.2</t>
  </si>
  <si>
    <t>%</t>
  </si>
  <si>
    <t>ASSIGNED</t>
  </si>
  <si>
    <t>A</t>
  </si>
  <si>
    <t>B</t>
  </si>
  <si>
    <t>C</t>
  </si>
  <si>
    <t>Project Start: 6 October 2025</t>
  </si>
  <si>
    <t>Gantt v1.0.0</t>
  </si>
  <si>
    <t>Componenti:</t>
  </si>
  <si>
    <t>D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</si>
  <si>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</si>
  <si>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</si>
  <si>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</si>
  <si>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</si>
  <si>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</si>
  <si>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</si>
  <si>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</si>
  <si>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</si>
  <si>
    <t>PsyPlatform</t>
  </si>
  <si>
    <t xml:space="preserve">  Creazione idea progetto</t>
  </si>
  <si>
    <t xml:space="preserve">  Creazione pagina inziale</t>
  </si>
  <si>
    <t xml:space="preserve">  Creazione databese</t>
  </si>
  <si>
    <t xml:space="preserve">  Creazione login</t>
  </si>
  <si>
    <t xml:space="preserve">  Completamento sito</t>
  </si>
  <si>
    <t xml:space="preserve">  Documentazione iniziale</t>
  </si>
  <si>
    <t xml:space="preserve">  Creazione requirements</t>
  </si>
  <si>
    <t>A, B</t>
  </si>
  <si>
    <t xml:space="preserve">  Zoom con fisioterapista</t>
  </si>
  <si>
    <t>A,B</t>
  </si>
  <si>
    <t>Giorgio Cominelli</t>
  </si>
  <si>
    <t>Simone Scainelli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</si>
</sst>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39"/>
  <sheetViews>
    <sheetView showGridLines="0" tabSelected="1" zoomScale="58" zoomScaleNormal="58" workbookViewId="0">
      <selection activeCell="G30" sqref="G30"/>
    </sheetView>
  </sheetViews>
  <sheetFormatPr defaultRowHeight="14.5"/>
  <cols>
    <col min="1" max="1" width="2.36328125" customWidth="1"/>
    <col min="2" max="2" width="6.08984375" customWidth="1"/>
    <col min="3" max="3" width="25.453125" bestFit="1" customWidth="1"/>
    <col min="4" max="4" width="13.1796875" customWidth="1"/>
    <col min="5" max="5" width="9.453125" customWidth="1"/>
    <col min="6" max="6" width="10.453125" customWidth="1"/>
    <col min="7" max="7" width="10.6328125" customWidth="1"/>
    <col min="9" max="9" width="5.54296875" style="1" customWidth="1"/>
    <col min="10" max="43" width="6.81640625" style="1" customWidth="1"/>
    <col min="45" max="49" width="13.81640625" customWidth="1"/>
  </cols>
  <sheetData>
    <row r="2" spans="3:47" ht="27" customHeight="1">
      <c r="C2" s="62" t="s">
        <v>33</v>
      </c>
      <c r="D2" s="62"/>
      <c r="E2" s="3"/>
    </row>
    <row r="3" spans="3:47">
      <c r="C3" s="61" t="s">
        <v>21</v>
      </c>
      <c r="D3" s="61"/>
      <c r="H3" s="15" t="s">
        <v>4</v>
      </c>
      <c r="I3" s="58" t="str">
        <f>TEXT(I5,"MMM")</f>
        <v>Oct</v>
      </c>
      <c r="J3" s="59"/>
      <c r="K3" s="59"/>
      <c r="L3" s="60"/>
      <c r="M3" s="58" t="str">
        <f>TEXT(M5,"MMM")</f>
        <v>Nov</v>
      </c>
      <c r="N3" s="59"/>
      <c r="O3" s="59"/>
      <c r="P3" s="60"/>
      <c r="Q3" s="58" t="str">
        <f>TEXT(Q5,"MMM")</f>
        <v>Dec</v>
      </c>
      <c r="R3" s="59"/>
      <c r="S3" s="59"/>
      <c r="T3" s="59"/>
      <c r="U3" s="7"/>
      <c r="V3" s="58" t="str">
        <f>TEXT(V5,"MMM")</f>
        <v>Jan</v>
      </c>
      <c r="W3" s="59"/>
      <c r="X3" s="59"/>
      <c r="Y3" s="60"/>
      <c r="Z3" s="58" t="str">
        <f>TEXT(Z5,"MMM")</f>
        <v>Feb</v>
      </c>
      <c r="AA3" s="59"/>
      <c r="AB3" s="59"/>
      <c r="AC3" s="60"/>
      <c r="AD3" s="58" t="str">
        <f>TEXT(AD5,"MMM")</f>
        <v>Mar</v>
      </c>
      <c r="AE3" s="59"/>
      <c r="AF3" s="59"/>
      <c r="AG3" s="59"/>
      <c r="AH3" s="7"/>
      <c r="AI3" s="58" t="str">
        <f>TEXT(AI5,"MMM")</f>
        <v>Apr</v>
      </c>
      <c r="AJ3" s="59"/>
      <c r="AK3" s="59"/>
      <c r="AL3" s="60"/>
      <c r="AM3" s="58" t="str">
        <f>TEXT(AM5,"MMM")</f>
        <v>May</v>
      </c>
      <c r="AN3" s="59"/>
      <c r="AO3" s="59"/>
      <c r="AP3" s="60"/>
      <c r="AQ3" s="6" t="str">
        <f>TEXT(AQ5,"MMM")</f>
        <v>Jun</v>
      </c>
    </row>
    <row r="4" spans="3:47">
      <c r="C4" t="s">
        <v>22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>
      <c r="H5" s="17" t="s">
        <v>9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32</v>
      </c>
      <c r="AT5" s="53" t="s">
        <v>31</v>
      </c>
      <c r="AU5" s="50" t="s">
        <v>30</v>
      </c>
    </row>
    <row r="6" spans="3:47" ht="21" customHeight="1">
      <c r="C6" s="36" t="s">
        <v>0</v>
      </c>
      <c r="D6" s="36" t="s">
        <v>17</v>
      </c>
      <c r="E6" s="36" t="s">
        <v>16</v>
      </c>
      <c r="F6" s="37" t="s">
        <v>1</v>
      </c>
      <c r="G6" s="37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" customHeight="1">
      <c r="C7" s="34" t="s">
        <v>10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>
      <c r="C8" s="33" t="s">
        <v>34</v>
      </c>
      <c r="D8" s="65" t="s">
        <v>41</v>
      </c>
      <c r="E8" s="27">
        <v>1</v>
      </c>
      <c r="F8" s="30">
        <v>45936</v>
      </c>
      <c r="G8" s="30">
        <v>45939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 t="shared" ref="AS8:AS26" si="0">INT((G8-F8)/7)</f>
        <v>0</v>
      </c>
      <c r="AT8" s="54">
        <f>AS8*$D$36</f>
        <v>0</v>
      </c>
      <c r="AU8" s="56">
        <f>AT8*$D$37</f>
        <v>0</v>
      </c>
    </row>
    <row r="9" spans="3:47" ht="21" customHeight="1">
      <c r="C9" s="33" t="s">
        <v>39</v>
      </c>
      <c r="D9" s="65" t="s">
        <v>18</v>
      </c>
      <c r="E9" s="27">
        <v>1</v>
      </c>
      <c r="F9" s="30">
        <v>45940</v>
      </c>
      <c r="G9" s="30">
        <v>45943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si="0"/>
        <v>0</v>
      </c>
      <c r="AT9" s="54">
        <f t="shared" ref="AT9:AT26" si="1">AS9*$D$36</f>
        <v>0</v>
      </c>
      <c r="AU9" s="56">
        <f t="shared" ref="AU9:AU26" si="2">AT9*$D$37</f>
        <v>0</v>
      </c>
    </row>
    <row r="10" spans="3:47" ht="21" customHeight="1">
      <c r="C10" s="33" t="s">
        <v>40</v>
      </c>
      <c r="D10" s="65" t="s">
        <v>18</v>
      </c>
      <c r="E10" s="27">
        <v>1</v>
      </c>
      <c r="F10" s="30">
        <v>45947</v>
      </c>
      <c r="G10" s="30">
        <v>45950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0</v>
      </c>
      <c r="AT10" s="54">
        <f t="shared" si="1"/>
        <v>0</v>
      </c>
      <c r="AU10" s="56">
        <f t="shared" si="2"/>
        <v>0</v>
      </c>
    </row>
    <row r="11" spans="3:47" ht="21" customHeight="1">
      <c r="C11" s="33" t="s">
        <v>5</v>
      </c>
      <c r="D11" s="65" t="s">
        <v>20</v>
      </c>
      <c r="E11" s="27"/>
      <c r="F11" s="30">
        <v>45955</v>
      </c>
      <c r="G11" s="30">
        <v>45961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0</v>
      </c>
      <c r="AT11" s="54">
        <f t="shared" si="1"/>
        <v>0</v>
      </c>
      <c r="AU11" s="56">
        <f t="shared" si="2"/>
        <v>0</v>
      </c>
    </row>
    <row r="12" spans="3:47" ht="25" customHeight="1">
      <c r="C12" s="35" t="s">
        <v>11</v>
      </c>
      <c r="D12" s="35"/>
      <c r="E12" s="31"/>
      <c r="F12" s="32"/>
      <c r="G12" s="3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 t="shared" si="0"/>
        <v>0</v>
      </c>
      <c r="AT12" s="54">
        <f t="shared" si="1"/>
        <v>0</v>
      </c>
      <c r="AU12" s="56">
        <f t="shared" si="2"/>
        <v>0</v>
      </c>
    </row>
    <row r="13" spans="3:47" ht="21" customHeight="1">
      <c r="C13" s="33" t="s">
        <v>35</v>
      </c>
      <c r="D13" s="65" t="s">
        <v>18</v>
      </c>
      <c r="E13" s="27">
        <v>1</v>
      </c>
      <c r="F13" s="30">
        <v>45941</v>
      </c>
      <c r="G13" s="30">
        <v>45943</v>
      </c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0</v>
      </c>
      <c r="AT13" s="54">
        <f t="shared" si="1"/>
        <v>0</v>
      </c>
      <c r="AU13" s="56">
        <f t="shared" si="2"/>
        <v>0</v>
      </c>
    </row>
    <row r="14" spans="3:47" ht="21" customHeight="1">
      <c r="C14" s="33" t="s">
        <v>36</v>
      </c>
      <c r="D14" s="65" t="s">
        <v>19</v>
      </c>
      <c r="E14" s="27">
        <v>1</v>
      </c>
      <c r="F14" s="30">
        <v>45976</v>
      </c>
      <c r="G14" s="30">
        <v>46006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4</v>
      </c>
      <c r="AT14" s="54">
        <f t="shared" si="1"/>
        <v>12</v>
      </c>
      <c r="AU14" s="56">
        <f t="shared" si="2"/>
        <v>180</v>
      </c>
    </row>
    <row r="15" spans="3:47" ht="21" customHeight="1">
      <c r="C15" s="33" t="s">
        <v>37</v>
      </c>
      <c r="D15" s="65" t="s">
        <v>18</v>
      </c>
      <c r="E15" s="27">
        <v>1</v>
      </c>
      <c r="F15" s="30">
        <v>45977</v>
      </c>
      <c r="G15" s="30">
        <v>45981</v>
      </c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0"/>
        <v>0</v>
      </c>
      <c r="AT15" s="54">
        <f t="shared" si="1"/>
        <v>0</v>
      </c>
      <c r="AU15" s="56">
        <f t="shared" si="2"/>
        <v>0</v>
      </c>
    </row>
    <row r="16" spans="3:47" ht="21" customHeight="1">
      <c r="C16" s="33" t="s">
        <v>38</v>
      </c>
      <c r="D16" s="65" t="s">
        <v>18</v>
      </c>
      <c r="E16" s="27">
        <v>0.6</v>
      </c>
      <c r="F16" s="30">
        <v>45983</v>
      </c>
      <c r="G16" s="30">
        <v>46081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14</v>
      </c>
      <c r="AT16" s="54">
        <f t="shared" si="1"/>
        <v>42</v>
      </c>
      <c r="AU16" s="56">
        <f t="shared" si="2"/>
        <v>630</v>
      </c>
    </row>
    <row r="17" spans="3:47" ht="25" customHeight="1">
      <c r="C17" s="35" t="s">
        <v>12</v>
      </c>
      <c r="D17" s="35"/>
      <c r="E17" s="31"/>
      <c r="F17" s="32"/>
      <c r="G17" s="32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0</v>
      </c>
      <c r="AT17" s="54">
        <f t="shared" si="1"/>
        <v>0</v>
      </c>
      <c r="AU17" s="56">
        <f t="shared" si="2"/>
        <v>0</v>
      </c>
    </row>
    <row r="18" spans="3:47" ht="21" customHeight="1">
      <c r="C18" s="33" t="s">
        <v>42</v>
      </c>
      <c r="D18" s="65" t="s">
        <v>43</v>
      </c>
      <c r="E18" s="27">
        <v>0</v>
      </c>
      <c r="F18" s="30">
        <v>46104</v>
      </c>
      <c r="G18" s="30">
        <v>46104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0"/>
        <v>0</v>
      </c>
      <c r="AT18" s="54">
        <f t="shared" si="1"/>
        <v>0</v>
      </c>
      <c r="AU18" s="56">
        <f t="shared" si="2"/>
        <v>0</v>
      </c>
    </row>
    <row r="19" spans="3:47" ht="21" customHeight="1">
      <c r="C19" s="33" t="s">
        <v>6</v>
      </c>
      <c r="D19" s="65"/>
      <c r="E19" s="65"/>
      <c r="F19" s="30"/>
      <c r="G19" s="30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0"/>
        <v>0</v>
      </c>
      <c r="AT19" s="54">
        <f t="shared" si="1"/>
        <v>0</v>
      </c>
      <c r="AU19" s="56">
        <f t="shared" si="2"/>
        <v>0</v>
      </c>
    </row>
    <row r="20" spans="3:47" ht="21" customHeight="1">
      <c r="C20" s="33" t="s">
        <v>7</v>
      </c>
      <c r="D20" s="65"/>
      <c r="E20" s="65"/>
      <c r="F20" s="30"/>
      <c r="G20" s="30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0"/>
        <v>0</v>
      </c>
      <c r="AT20" s="54">
        <f t="shared" si="1"/>
        <v>0</v>
      </c>
      <c r="AU20" s="56">
        <f t="shared" si="2"/>
        <v>0</v>
      </c>
    </row>
    <row r="21" spans="3:47" ht="21" customHeight="1">
      <c r="C21" s="33" t="s">
        <v>8</v>
      </c>
      <c r="D21" s="65"/>
      <c r="E21" s="65"/>
      <c r="F21" s="30"/>
      <c r="G21" s="30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0"/>
        <v>0</v>
      </c>
      <c r="AT21" s="54">
        <f t="shared" si="1"/>
        <v>0</v>
      </c>
      <c r="AU21" s="56">
        <f t="shared" si="2"/>
        <v>0</v>
      </c>
    </row>
    <row r="22" spans="3:47" ht="25" customHeight="1">
      <c r="C22" s="35" t="s">
        <v>13</v>
      </c>
      <c r="D22" s="35"/>
      <c r="E22" s="31"/>
      <c r="F22" s="26"/>
      <c r="G22" s="26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0"/>
        <v>0</v>
      </c>
      <c r="AT22" s="54">
        <f t="shared" si="1"/>
        <v>0</v>
      </c>
      <c r="AU22" s="56">
        <f t="shared" si="2"/>
        <v>0</v>
      </c>
    </row>
    <row r="23" spans="3:47" ht="21" customHeight="1">
      <c r="C23" s="33" t="s">
        <v>14</v>
      </c>
      <c r="D23" s="65"/>
      <c r="E23" s="65"/>
      <c r="F23" s="30"/>
      <c r="G23" s="30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0"/>
        <v>0</v>
      </c>
      <c r="AT23" s="54">
        <f t="shared" si="1"/>
        <v>0</v>
      </c>
      <c r="AU23" s="56">
        <f t="shared" si="2"/>
        <v>0</v>
      </c>
    </row>
    <row r="24" spans="3:47" ht="21" customHeight="1">
      <c r="C24" s="33" t="s">
        <v>15</v>
      </c>
      <c r="D24" s="65"/>
      <c r="E24" s="65"/>
      <c r="F24" s="30"/>
      <c r="G24" s="30"/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0"/>
        <v>0</v>
      </c>
      <c r="AT24" s="54">
        <f t="shared" si="1"/>
        <v>0</v>
      </c>
      <c r="AU24" s="56">
        <f t="shared" si="2"/>
        <v>0</v>
      </c>
    </row>
    <row r="25" spans="3:47" ht="21" customHeight="1">
      <c r="C25" s="33" t="s">
        <v>7</v>
      </c>
      <c r="D25" s="65"/>
      <c r="E25" s="65"/>
      <c r="F25" s="30"/>
      <c r="G25" s="30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 t="shared" si="0"/>
        <v>0</v>
      </c>
      <c r="AT25" s="54">
        <f t="shared" si="1"/>
        <v>0</v>
      </c>
      <c r="AU25" s="56">
        <f t="shared" si="2"/>
        <v>0</v>
      </c>
    </row>
    <row r="26" spans="3:47" ht="21" customHeight="1">
      <c r="C26" s="33" t="s">
        <v>8</v>
      </c>
      <c r="D26" s="65"/>
      <c r="E26" s="65"/>
      <c r="F26" s="30"/>
      <c r="G26" s="30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 t="shared" si="0"/>
        <v>0</v>
      </c>
      <c r="AT26" s="54">
        <f t="shared" si="1"/>
        <v>0</v>
      </c>
      <c r="AU26" s="56">
        <f t="shared" si="2"/>
        <v>0</v>
      </c>
    </row>
    <row r="27" spans="3:47">
      <c r="AS27" s="8"/>
      <c r="AT27" s="54"/>
      <c r="AU27" s="56"/>
    </row>
    <row r="28" spans="3:47">
      <c r="AS28" s="8"/>
      <c r="AT28" s="54"/>
      <c r="AU28" s="56"/>
    </row>
    <row r="29" spans="3:47">
      <c r="C29" s="39"/>
      <c r="D29" s="40"/>
      <c r="E29" s="40"/>
      <c r="F29" s="41"/>
      <c r="AS29" s="8"/>
      <c r="AT29" s="54"/>
      <c r="AU29" s="56"/>
    </row>
    <row r="30" spans="3:47" ht="19.5">
      <c r="C30" s="46" t="s">
        <v>23</v>
      </c>
      <c r="D30" s="1" t="s">
        <v>18</v>
      </c>
      <c r="E30" s="63" t="s">
        <v>44</v>
      </c>
      <c r="F30" s="64"/>
      <c r="AS30" s="52">
        <f>SUM(AS8:AS26)</f>
        <v>18</v>
      </c>
      <c r="AT30" s="55">
        <f>SUM(AT8:AT26)</f>
        <v>54</v>
      </c>
      <c r="AU30" s="57">
        <f>SUM(AU8:AU26)</f>
        <v>810</v>
      </c>
    </row>
    <row r="31" spans="3:47">
      <c r="C31" s="43"/>
      <c r="D31" s="1" t="s">
        <v>19</v>
      </c>
      <c r="E31" s="63" t="s">
        <v>45</v>
      </c>
      <c r="F31" s="64"/>
    </row>
    <row r="32" spans="3:47">
      <c r="C32" s="43"/>
      <c r="D32" s="1" t="s">
        <v>20</v>
      </c>
      <c r="E32" s="63"/>
      <c r="F32" s="64"/>
      <c r="J32" s="2"/>
      <c r="K32" s="2"/>
      <c r="L32" s="2"/>
    </row>
    <row r="33" spans="3:12">
      <c r="C33" s="43"/>
      <c r="D33" s="1" t="s">
        <v>24</v>
      </c>
      <c r="E33" s="63"/>
      <c r="F33" s="64"/>
      <c r="J33" s="2"/>
      <c r="K33" s="2"/>
      <c r="L33" s="2"/>
    </row>
    <row r="34" spans="3:12">
      <c r="C34" s="43"/>
      <c r="D34" s="1"/>
      <c r="E34" s="1"/>
      <c r="F34" s="42"/>
      <c r="J34" s="2"/>
      <c r="K34" s="2"/>
      <c r="L34" s="2"/>
    </row>
    <row r="35" spans="3:12">
      <c r="C35" s="43"/>
      <c r="D35" s="1"/>
      <c r="E35" s="1"/>
      <c r="F35" s="42"/>
      <c r="J35" s="2"/>
      <c r="K35" s="2"/>
      <c r="L35" s="2"/>
    </row>
    <row r="36" spans="3:12">
      <c r="C36" s="51" t="s">
        <v>28</v>
      </c>
      <c r="D36" s="47">
        <v>3</v>
      </c>
      <c r="E36" s="38" t="s">
        <v>29</v>
      </c>
      <c r="F36" s="42"/>
      <c r="J36" s="2"/>
      <c r="K36" s="2"/>
      <c r="L36" s="2"/>
    </row>
    <row r="37" spans="3:12">
      <c r="C37" s="51" t="s">
        <v>27</v>
      </c>
      <c r="D37" s="47">
        <v>15</v>
      </c>
      <c r="E37" s="38" t="s">
        <v>25</v>
      </c>
      <c r="F37" s="42"/>
      <c r="J37" s="2"/>
      <c r="K37" s="2"/>
      <c r="L37" s="2"/>
    </row>
    <row r="38" spans="3:12">
      <c r="C38" s="51" t="s">
        <v>26</v>
      </c>
      <c r="D38">
        <v>25</v>
      </c>
      <c r="E38" s="38" t="s">
        <v>25</v>
      </c>
      <c r="F38" s="48"/>
    </row>
    <row r="39" spans="3:12">
      <c r="C39" s="44"/>
      <c r="D39" s="21"/>
      <c r="E39" s="21"/>
      <c r="F39" s="45"/>
    </row>
  </sheetData>
  <mergeCells count="14">
    <mergeCell ref="E30:F30"/>
    <mergeCell ref="E31:F31"/>
    <mergeCell ref="E32:F32"/>
    <mergeCell ref="E33:F33"/>
    <mergeCell ref="C3:D3"/>
    <mergeCell ref="V3:Y3"/>
    <mergeCell ref="Z3:AC3"/>
    <mergeCell ref="C2:D2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3:V26 Y13:AD26 AG13:AL26 AO13:AP26">
    <cfRule type="expression" dxfId="2" priority="10">
      <formula>AND(H$5&gt;=$F8,H$5&lt;=$G8)</formula>
    </cfRule>
  </conditionalFormatting>
  <conditionalFormatting sqref="H8:AP8 I9:AP26 I5:AQ7 AQ8:AQ26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Cominelli Giorgio</cp:lastModifiedBy>
  <dcterms:created xsi:type="dcterms:W3CDTF">2025-10-22T05:40:21Z</dcterms:created>
  <dcterms:modified xsi:type="dcterms:W3CDTF">2026-02-11T10:26:14Z</dcterms:modified>
</cp:coreProperties>
</file>